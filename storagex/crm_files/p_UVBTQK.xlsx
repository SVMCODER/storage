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ersonal work\Research Craft\47 Pawan\work\"/>
    </mc:Choice>
  </mc:AlternateContent>
  <xr:revisionPtr revIDLastSave="0" documentId="13_ncr:1_{C90D6F18-24DD-49D3-8C1D-D62EB3E37814}" xr6:coauthVersionLast="47" xr6:coauthVersionMax="47" xr10:uidLastSave="{00000000-0000-0000-0000-000000000000}"/>
  <bookViews>
    <workbookView xWindow="-108" yWindow="-108" windowWidth="23256" windowHeight="12456" tabRatio="822" xr2:uid="{00000000-000D-0000-FFFF-FFFF00000000}"/>
  </bookViews>
  <sheets>
    <sheet name="START HERE" sheetId="1" r:id="rId1"/>
    <sheet name="Dashboard" sheetId="2" r:id="rId2"/>
    <sheet name="Annual Data" sheetId="3" r:id="rId3"/>
    <sheet name="Objective 1" sheetId="4" r:id="rId4"/>
    <sheet name="Objective 2" sheetId="5" r:id="rId5"/>
    <sheet name="Objective 3" sheetId="6" r:id="rId6"/>
    <sheet name="Objective 4" sheetId="7" r:id="rId7"/>
    <sheet name="Objective 5" sheetId="8" r:id="rId8"/>
    <sheet name="Objective 6" sheetId="9" r:id="rId9"/>
    <sheet name="Agreement Register" sheetId="10" r:id="rId10"/>
    <sheet name="Defence Register" sheetId="11" r:id="rId11"/>
    <sheet name="Project Register" sheetId="12" r:id="rId12"/>
    <sheet name="Loan &amp; Debt To Collect" sheetId="13" r:id="rId13"/>
    <sheet name="Source Log" sheetId="14" r:id="rId14"/>
    <sheet name="Codebook" sheetId="15" r:id="rId15"/>
    <sheet name="Analysis Plan" sheetId="16" r:id="rId16"/>
  </sheets>
  <definedNames>
    <definedName name="_xlnm._FilterDatabase" localSheetId="9" hidden="1">'Agreement Register'!$A$2:$G$6</definedName>
    <definedName name="_xlnm._FilterDatabase" localSheetId="15" hidden="1">'Analysis Plan'!$A$2:$E$8</definedName>
    <definedName name="_xlnm._FilterDatabase" localSheetId="2" hidden="1">'Annual Data'!$A$1:$N$26</definedName>
    <definedName name="_xlnm._FilterDatabase" localSheetId="14" hidden="1">Codebook!$A$2:$F$10</definedName>
    <definedName name="_xlnm._FilterDatabase" localSheetId="10" hidden="1">'Defence Register'!$A$2:$G$15</definedName>
    <definedName name="_xlnm._FilterDatabase" localSheetId="12" hidden="1">'Loan &amp; Debt To Collect'!$A$2:$F$6</definedName>
    <definedName name="_xlnm._FilterDatabase" localSheetId="3" hidden="1">'Objective 1'!$A$2:$G$6</definedName>
    <definedName name="_xlnm._FilterDatabase" localSheetId="4" hidden="1">'Objective 2'!$A$2:$G$6</definedName>
    <definedName name="_xlnm._FilterDatabase" localSheetId="5" hidden="1">'Objective 3'!$A$2:$G$5</definedName>
    <definedName name="_xlnm._FilterDatabase" localSheetId="6" hidden="1">'Objective 4'!$A$2:$G$6</definedName>
    <definedName name="_xlnm._FilterDatabase" localSheetId="7" hidden="1">'Objective 5'!$A$2:$G$6</definedName>
    <definedName name="_xlnm._FilterDatabase" localSheetId="8" hidden="1">'Objective 6'!$A$2:$G$6</definedName>
    <definedName name="_xlnm._FilterDatabase" localSheetId="11" hidden="1">'Project Register'!$A$2:$G$7</definedName>
    <definedName name="_xlnm._FilterDatabase" localSheetId="13" hidden="1">'Source Log'!$A$2:$F$12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H26" i="3"/>
  <c r="D26" i="3"/>
  <c r="I25" i="3"/>
  <c r="H25" i="3"/>
  <c r="D25" i="3"/>
  <c r="I24" i="3"/>
  <c r="H24" i="3"/>
  <c r="D24" i="3"/>
  <c r="I23" i="3"/>
  <c r="H23" i="3"/>
  <c r="D23" i="3"/>
  <c r="I22" i="3"/>
  <c r="H22" i="3"/>
  <c r="D22" i="3"/>
  <c r="I21" i="3"/>
  <c r="H21" i="3"/>
  <c r="D21" i="3"/>
  <c r="I20" i="3"/>
  <c r="H20" i="3"/>
  <c r="D20" i="3"/>
  <c r="I19" i="3"/>
  <c r="H19" i="3"/>
  <c r="D19" i="3"/>
  <c r="I18" i="3"/>
  <c r="H18" i="3"/>
  <c r="D18" i="3"/>
  <c r="I17" i="3"/>
  <c r="H17" i="3"/>
  <c r="D17" i="3"/>
  <c r="I16" i="3"/>
  <c r="H16" i="3"/>
  <c r="D16" i="3"/>
  <c r="I15" i="3"/>
  <c r="H15" i="3"/>
  <c r="D15" i="3"/>
  <c r="I14" i="3"/>
  <c r="H14" i="3"/>
  <c r="D14" i="3"/>
  <c r="I13" i="3"/>
  <c r="H13" i="3"/>
  <c r="D13" i="3"/>
  <c r="I12" i="3"/>
  <c r="H12" i="3"/>
  <c r="D12" i="3"/>
  <c r="I11" i="3"/>
  <c r="H11" i="3"/>
  <c r="D11" i="3"/>
  <c r="I10" i="3"/>
  <c r="H10" i="3"/>
  <c r="D10" i="3"/>
  <c r="I9" i="3"/>
  <c r="H9" i="3"/>
  <c r="D9" i="3"/>
  <c r="I8" i="3"/>
  <c r="H8" i="3"/>
  <c r="D8" i="3"/>
  <c r="I7" i="3"/>
  <c r="H7" i="3"/>
  <c r="D7" i="3"/>
  <c r="I6" i="3"/>
  <c r="H6" i="3"/>
  <c r="D6" i="3"/>
  <c r="I5" i="3"/>
  <c r="H5" i="3"/>
  <c r="D5" i="3"/>
  <c r="I4" i="3"/>
  <c r="H4" i="3"/>
  <c r="D4" i="3"/>
  <c r="I3" i="3"/>
  <c r="H3" i="3"/>
  <c r="D3" i="3"/>
  <c r="I2" i="3"/>
  <c r="H2" i="3"/>
  <c r="D2" i="3"/>
</calcChain>
</file>

<file path=xl/sharedStrings.xml><?xml version="1.0" encoding="utf-8"?>
<sst xmlns="http://schemas.openxmlformats.org/spreadsheetml/2006/main" count="647" uniqueCount="471">
  <si>
    <t>INDIA–MALDIVES RELATIONS IN THE 21st CENTURY</t>
  </si>
  <si>
    <t>Objective-aligned quantitative secondary dataset and data-collection workbook</t>
  </si>
  <si>
    <t>Workbook contents</t>
  </si>
  <si>
    <t>Annual Data</t>
  </si>
  <si>
    <t>Annual trade, tourism arrivals and grant indicators where data are available in the cited official series.</t>
  </si>
  <si>
    <t>Objective 1–6</t>
  </si>
  <si>
    <t>Separate indicator sheets aligned to each research objective; each identifies existing data and what still needs collecting.</t>
  </si>
  <si>
    <t>Agreement Register</t>
  </si>
  <si>
    <t>Selected bilateral agreement / visit records; examples only, not exhaustive annual counts.</t>
  </si>
  <si>
    <t>Defence Register</t>
  </si>
  <si>
    <t>Selected Ekuverin exercise chronology; gaps must not be treated as zero.</t>
  </si>
  <si>
    <t>Project Register</t>
  </si>
  <si>
    <t>Development and security project indicators to complete from official records.</t>
  </si>
  <si>
    <t>Loan &amp; Debt To Collect</t>
  </si>
  <si>
    <t>Codebook &amp; Source Log</t>
  </si>
  <si>
    <t>Variable definitions, sources, coverage and cautions.</t>
  </si>
  <si>
    <t>Analysis Plan &amp; Dashboard</t>
  </si>
  <si>
    <t>Suggested descriptive analyses and charts.</t>
  </si>
  <si>
    <t>Data quality rules</t>
  </si>
  <si>
    <t>•</t>
  </si>
  <si>
    <t>Blank / NA means not available in this extract, not zero.</t>
  </si>
  <si>
    <t>Grants, loans, project commitments and disbursements are different measures; do not combine them without a clear definition.</t>
  </si>
  <si>
    <t>Tourism arrivals are not a direct measure of diplomatic alignment or strategic influence.</t>
  </si>
  <si>
    <t>Selected agreement and defence records are examples, not a complete annual census.</t>
  </si>
  <si>
    <t>Check the original source tables and record table/page references before final thesis submission.</t>
  </si>
  <si>
    <t>QUANTITATIVE OVERVIEW</t>
  </si>
  <si>
    <t>Charts are descriptive. Blank cells indicate missing / unverified values, not zero.</t>
  </si>
  <si>
    <t>Year</t>
  </si>
  <si>
    <t>India exports to Maldives (US$ mn)</t>
  </si>
  <si>
    <t>India imports from Maldives (US$ mn)</t>
  </si>
  <si>
    <t>Bilateral trade total (US$ mn; calculated)</t>
  </si>
  <si>
    <t>Tourist arrivals total (yearbook series)</t>
  </si>
  <si>
    <t>Arrivals from India</t>
  </si>
  <si>
    <t>Arrivals from China</t>
  </si>
  <si>
    <t>India arrival share (%)</t>
  </si>
  <si>
    <t>China arrival share (%)</t>
  </si>
  <si>
    <t>Total foreign grants (MVR mn)</t>
  </si>
  <si>
    <t>India grants (MVR mn)</t>
  </si>
  <si>
    <t>China grants (MVR mn)</t>
  </si>
  <si>
    <t>Bilateral grants total (MVR mn)</t>
  </si>
  <si>
    <t>Notes</t>
  </si>
  <si>
    <t>Trade: HCI/Maldives Customs; tourism: Statistical Yearbook Table 9.1; grants: Statistical Yearbook Table 12.6 where available. Verify against source tables.</t>
  </si>
  <si>
    <t>Objective 1: Nature of India–Maldives relations in a changing scenario</t>
  </si>
  <si>
    <t>Indicator</t>
  </si>
  <si>
    <t>Unit / definition</t>
  </si>
  <si>
    <t>Where in workbook</t>
  </si>
  <si>
    <t>Coverage</t>
  </si>
  <si>
    <t>Status</t>
  </si>
  <si>
    <t>Source to use</t>
  </si>
  <si>
    <t>Caution / next step</t>
  </si>
  <si>
    <t>Bilateral trade</t>
  </si>
  <si>
    <t>Annual US$ million</t>
  </si>
  <si>
    <t>2013–2024</t>
  </si>
  <si>
    <t>Available; total calculated from components</t>
  </si>
  <si>
    <t>High Commission of India, Malé</t>
  </si>
  <si>
    <t>Economic ties are only one dimension of relations.</t>
  </si>
  <si>
    <t>Tourist arrivals from India</t>
  </si>
  <si>
    <t>Annual persons and share of total</t>
  </si>
  <si>
    <t>2000–2024 with gaps</t>
  </si>
  <si>
    <t>Partial series; verify unclear/missing year</t>
  </si>
  <si>
    <t>Maldives Statistical Yearbook Table 9.1</t>
  </si>
  <si>
    <t>Tourism is affected by external shocks.</t>
  </si>
  <si>
    <t>High-level visits</t>
  </si>
  <si>
    <t>Count by year, visitor, purpose and outcome</t>
  </si>
  <si>
    <t>Agreement Register / add records</t>
  </si>
  <si>
    <t>Not exhaustive</t>
  </si>
  <si>
    <t>Collect all visits from official releases</t>
  </si>
  <si>
    <t>MEA; HCI Malé; Maldives President's Office</t>
  </si>
  <si>
    <t>Define what counts as high-level visit.</t>
  </si>
  <si>
    <t>Bilateral agreements</t>
  </si>
  <si>
    <t>Count by year and policy area</t>
  </si>
  <si>
    <t>Selected examples only</t>
  </si>
  <si>
    <t>Systematically search MEA treaty database and joint statements</t>
  </si>
  <si>
    <t>MEA Treaty Database; official joint statements</t>
  </si>
  <si>
    <t>Separate signed agreements from announcements.</t>
  </si>
  <si>
    <t>Objective 2: India's security interests and efforts to balance China's influence</t>
  </si>
  <si>
    <t>India grants</t>
  </si>
  <si>
    <t>Annual MVR million in source series</t>
  </si>
  <si>
    <t>2004–2024</t>
  </si>
  <si>
    <t>Transcribed series; check source table</t>
  </si>
  <si>
    <t>Maldives Statistical Yearbook Table 12.6</t>
  </si>
  <si>
    <t>Does not represent all Indian assistance.</t>
  </si>
  <si>
    <t>China grants</t>
  </si>
  <si>
    <t>Not a measure of all Chinese influence.</t>
  </si>
  <si>
    <t>Loans by lending agency</t>
  </si>
  <si>
    <t>Annual amount by lender and currency</t>
  </si>
  <si>
    <t>Official table available online; values not yet transcribed</t>
  </si>
  <si>
    <t>Download Table 12.8 and transcribe</t>
  </si>
  <si>
    <t>Maldives Statistical Yearbook Table 12.8</t>
  </si>
  <si>
    <t>Keep loans separate from grants.</t>
  </si>
  <si>
    <t>Defence exercises</t>
  </si>
  <si>
    <t>Exercise name, edition, year, location</t>
  </si>
  <si>
    <t>Selected Ekuverin editions</t>
  </si>
  <si>
    <t>Complete with official releases</t>
  </si>
  <si>
    <t>ICWA; Indian defence releases; HCI</t>
  </si>
  <si>
    <t>Missing years do not mean no exercise.</t>
  </si>
  <si>
    <t>Objective 3: Outcomes of bilateral talks in the 21st century</t>
  </si>
  <si>
    <t>Bilateral meetings / visits</t>
  </si>
  <si>
    <t>Count by year and level</t>
  </si>
  <si>
    <t>Code official visits, participants and stated outcomes</t>
  </si>
  <si>
    <t>MEA; PIB; HCI; Maldives President's Office</t>
  </si>
  <si>
    <t>Use consistent coding rules.</t>
  </si>
  <si>
    <t>Agreements and MoUs</t>
  </si>
  <si>
    <t>Count by year, type, status</t>
  </si>
  <si>
    <t>Extract from treaty database and joint statements</t>
  </si>
  <si>
    <t>MEA Treaty Database; PIB</t>
  </si>
  <si>
    <t>Record signature and effective dates separately.</t>
  </si>
  <si>
    <t>Project delivery</t>
  </si>
  <si>
    <t>Status, date, sector, value where published</t>
  </si>
  <si>
    <t>Selected examples / template</t>
  </si>
  <si>
    <t>Collect official completion and handover records</t>
  </si>
  <si>
    <t>HCI; PIB; EXIM Bank</t>
  </si>
  <si>
    <t>Separate announced, sanctioned, disbursed and completed.</t>
  </si>
  <si>
    <t>Objective 4: Major challenges in India–Maldives relations</t>
  </si>
  <si>
    <t>Trade fluctuation</t>
  </si>
  <si>
    <t>Year-on-year change (%)</t>
  </si>
  <si>
    <t>Formula-ready once series verified</t>
  </si>
  <si>
    <t>HCI / Maldives Customs</t>
  </si>
  <si>
    <t>Change alone does not prove diplomatic tension.</t>
  </si>
  <si>
    <t>Tourism fluctuation</t>
  </si>
  <si>
    <t>Year-on-year changes in India/China arrivals</t>
  </si>
  <si>
    <t>Partial series</t>
  </si>
  <si>
    <t>Verify totals and gaps against Ministry of Tourism</t>
  </si>
  <si>
    <t>Maldives Statistical Yearbook; Ministry of Tourism</t>
  </si>
  <si>
    <t>COVID-19 and market changes are confounders.</t>
  </si>
  <si>
    <t>Diplomatic disputes</t>
  </si>
  <si>
    <t>Event date, issue, statements, resolution</t>
  </si>
  <si>
    <t>Add a Diplomatic Events Register</t>
  </si>
  <si>
    <t>Not compiled</t>
  </si>
  <si>
    <t>Code documented events using a written protocol</t>
  </si>
  <si>
    <t>MEA; HCI; Maldives government; reputable press</t>
  </si>
  <si>
    <t>Avoid subjective scoring without a protocol.</t>
  </si>
  <si>
    <t>Public opinion / sovereignty narratives</t>
  </si>
  <si>
    <t>Survey results or coded media items</t>
  </si>
  <si>
    <t>Separate survey/media dataset if used</t>
  </si>
  <si>
    <t>No consistent annual official series in this workbook</t>
  </si>
  <si>
    <t>Use published surveys or systematic content analysis</t>
  </si>
  <si>
    <t>Published surveys and sampled news reports</t>
  </si>
  <si>
    <t>Do not fabricate an annual index.</t>
  </si>
  <si>
    <t>Objective 5: Impact of India's Neighbourhood First Policy on the Maldives</t>
  </si>
  <si>
    <t>Annual MVR million</t>
  </si>
  <si>
    <t>Transcribed; verify source table</t>
  </si>
  <si>
    <t>Statistical Yearbook Table 12.6</t>
  </si>
  <si>
    <t>Budgetary grants do not cover all policy inputs.</t>
  </si>
  <si>
    <t>Project and credit support</t>
  </si>
  <si>
    <t>Project value, financing type, status</t>
  </si>
  <si>
    <t>Selected examples / needs expansion</t>
  </si>
  <si>
    <t>Collect official project-level records</t>
  </si>
  <si>
    <t>Keep grants and credit separate.</t>
  </si>
  <si>
    <t>Trade</t>
  </si>
  <si>
    <t>Available from HCI trade table</t>
  </si>
  <si>
    <t>HCI Malé</t>
  </si>
  <si>
    <t>Economic link is not proof of policy causation.</t>
  </si>
  <si>
    <t>Tourism from India</t>
  </si>
  <si>
    <t>Annual arrivals and share</t>
  </si>
  <si>
    <t>Verify missing years and series consistency</t>
  </si>
  <si>
    <t>Statistical Yearbook / Ministry of Tourism</t>
  </si>
  <si>
    <t>Interpret alongside other factors.</t>
  </si>
  <si>
    <t>Objective 6: Maldives in Indo-Pacific security and response to extra-regional powers</t>
  </si>
  <si>
    <t>India–Maldives exercises</t>
  </si>
  <si>
    <t>Exercise, edition, year, location</t>
  </si>
  <si>
    <t>Selected Ekuverin records</t>
  </si>
  <si>
    <t>Complete all years and add other security initiatives</t>
  </si>
  <si>
    <t>Event-level records are preferable to guessed counts.</t>
  </si>
  <si>
    <t>Maritime security cooperation</t>
  </si>
  <si>
    <t>Event, year, category, source</t>
  </si>
  <si>
    <t>Defence Register / add records</t>
  </si>
  <si>
    <t>Code surveillance, training, HADR, coast guard and maritime support</t>
  </si>
  <si>
    <t>HCI; PIB; MEA; Maldives government</t>
  </si>
  <si>
    <t>Keep categories distinct.</t>
  </si>
  <si>
    <t>Transcribed; not full China footprint</t>
  </si>
  <si>
    <t>Pair with loan/debt data where comparable.</t>
  </si>
  <si>
    <t>China loans / debt exposure</t>
  </si>
  <si>
    <t>Lender-specific loan and debt series</t>
  </si>
  <si>
    <t>Not transcribed</t>
  </si>
  <si>
    <t>Extract creditor-level values if separately reported</t>
  </si>
  <si>
    <t>Statistical Yearbook Tables 12.8–12.10</t>
  </si>
  <si>
    <t>Do not infer China-specific debt from aggregate debt.</t>
  </si>
  <si>
    <t>AGREEMENTS &amp; DIPLOMATIC OUTCOMES</t>
  </si>
  <si>
    <t>Date/year</t>
  </si>
  <si>
    <t>Event/agreement</t>
  </si>
  <si>
    <t>Parties</t>
  </si>
  <si>
    <t>Description/outcome</t>
  </si>
  <si>
    <t>Type</t>
  </si>
  <si>
    <t>Source to verify</t>
  </si>
  <si>
    <t>Coding note</t>
  </si>
  <si>
    <t>2018-12</t>
  </si>
  <si>
    <t>High-level visit</t>
  </si>
  <si>
    <t>India–Maldives</t>
  </si>
  <si>
    <t>President Ibrahim Mohamed Solih's visit to India</t>
  </si>
  <si>
    <t>Diplomatic engagement</t>
  </si>
  <si>
    <t>HCI Malé bilateral relations page</t>
  </si>
  <si>
    <t>Add exact dates and official outcomes.</t>
  </si>
  <si>
    <t>2018-12 / effective 2019-03</t>
  </si>
  <si>
    <t>Visa facilitation agreement</t>
  </si>
  <si>
    <t>Agreement signed in December 2018; reported effective 11 March 2019</t>
  </si>
  <si>
    <t>Agreement</t>
  </si>
  <si>
    <t>2024-10-07</t>
  </si>
  <si>
    <t>State visit outcomes</t>
  </si>
  <si>
    <t>Vision for Comprehensive Economic and Maritime Security Partnership, currency swap and MoUs reported</t>
  </si>
  <si>
    <t>Visit / agreement package</t>
  </si>
  <si>
    <t>PIB release 7 October 2024</t>
  </si>
  <si>
    <t>Code individual MoUs separately if counting agreements.</t>
  </si>
  <si>
    <t>2025-07</t>
  </si>
  <si>
    <t>HCI reports eight MoUs during PM Modi's visit</t>
  </si>
  <si>
    <t>Outside core period if thesis ends in 2024.</t>
  </si>
  <si>
    <t>DEFENCE &amp; MARITIME SECURITY — SELECTED EXERCISE RECORDS</t>
  </si>
  <si>
    <t>Exercise</t>
  </si>
  <si>
    <t>Edition</t>
  </si>
  <si>
    <t>Location</t>
  </si>
  <si>
    <t>Details/purpose</t>
  </si>
  <si>
    <t>Source</t>
  </si>
  <si>
    <t>Research note</t>
  </si>
  <si>
    <t>2009</t>
  </si>
  <si>
    <t>Ekuverin</t>
  </si>
  <si>
    <t>1st</t>
  </si>
  <si>
    <t>India/Maldives</t>
  </si>
  <si>
    <t>First edition identified in ICWA article</t>
  </si>
  <si>
    <t>ICWA, India's Military Engagement in South Asia</t>
  </si>
  <si>
    <t>Starting point; complete later years from official records.</t>
  </si>
  <si>
    <t>2010</t>
  </si>
  <si>
    <t>2nd</t>
  </si>
  <si>
    <t>Maldives/India</t>
  </si>
  <si>
    <t>ICWA chronology lists second edition</t>
  </si>
  <si>
    <t>ICWA article</t>
  </si>
  <si>
    <t>Verify original official announcement.</t>
  </si>
  <si>
    <t>2011</t>
  </si>
  <si>
    <t>3rd</t>
  </si>
  <si>
    <t>Maldives</t>
  </si>
  <si>
    <t>Exercise reported 15–18 December 2011</t>
  </si>
  <si>
    <t>Selected example.</t>
  </si>
  <si>
    <t>2012</t>
  </si>
  <si>
    <t>4th</t>
  </si>
  <si>
    <t>India</t>
  </si>
  <si>
    <t>Exercise reported 12–25 November 2012</t>
  </si>
  <si>
    <t>2013</t>
  </si>
  <si>
    <t>5th</t>
  </si>
  <si>
    <t>Fifth edition listed</t>
  </si>
  <si>
    <t>Exact dates not in cited summary.</t>
  </si>
  <si>
    <t>2015</t>
  </si>
  <si>
    <t>6th</t>
  </si>
  <si>
    <t>Exercise reported 31 August–13 September 2015</t>
  </si>
  <si>
    <t>No 2014 entry in cited chronology is not proof none occurred.</t>
  </si>
  <si>
    <t>2016</t>
  </si>
  <si>
    <t>7th</t>
  </si>
  <si>
    <t>Exercise reported 15–28 December 2016</t>
  </si>
  <si>
    <t>2017</t>
  </si>
  <si>
    <t>8th</t>
  </si>
  <si>
    <t>Exercise reported 15–28 December 2017</t>
  </si>
  <si>
    <t>2018</t>
  </si>
  <si>
    <t>9th</t>
  </si>
  <si>
    <t>Maafilaafushi listed as location</t>
  </si>
  <si>
    <t>Verify details from official release.</t>
  </si>
  <si>
    <t>2019</t>
  </si>
  <si>
    <t>10th</t>
  </si>
  <si>
    <t>Exercise reported 7–20 October 2019</t>
  </si>
  <si>
    <t>2021</t>
  </si>
  <si>
    <t>11th</t>
  </si>
  <si>
    <t>Exercise reported 6–19 December 2021</t>
  </si>
  <si>
    <t>No 2020 entry in cited chronology is not proof none occurred.</t>
  </si>
  <si>
    <t>2023</t>
  </si>
  <si>
    <t>12th</t>
  </si>
  <si>
    <t>Exercise reported 11–24 June 2023</t>
  </si>
  <si>
    <t>2025</t>
  </si>
  <si>
    <t>13th</t>
  </si>
  <si>
    <t>Exercise reported 2–15 February 2025</t>
  </si>
  <si>
    <t>Outside core period through 2024.</t>
  </si>
  <si>
    <t>DEVELOPMENT PROJECTS &amp; POLICY OUTPUTS</t>
  </si>
  <si>
    <t>Project / initiative</t>
  </si>
  <si>
    <t>Sector</t>
  </si>
  <si>
    <t>Country/partner</t>
  </si>
  <si>
    <t>Support type</t>
  </si>
  <si>
    <t>Known record / status</t>
  </si>
  <si>
    <t>What to collect</t>
  </si>
  <si>
    <t>Greater Malé Connectivity Project</t>
  </si>
  <si>
    <t>Transport/connectivity</t>
  </si>
  <si>
    <t>Grant and repayable financing; verify components</t>
  </si>
  <si>
    <t>Project-level values not included here</t>
  </si>
  <si>
    <t>HCI; India Responds tracker; official project releases</t>
  </si>
  <si>
    <t>Separate grant, loan, commitment, disbursement, completion.</t>
  </si>
  <si>
    <t>Hanimaadhoo International Airport runway</t>
  </si>
  <si>
    <t>Project support; details to verify</t>
  </si>
  <si>
    <t>Included in 2024 visit outcomes</t>
  </si>
  <si>
    <t>PIB 7 October 2024</t>
  </si>
  <si>
    <t>Add official amount only where published.</t>
  </si>
  <si>
    <t>Social housing units</t>
  </si>
  <si>
    <t>Housing</t>
  </si>
  <si>
    <t>EXIM Bank buyer's credit facility</t>
  </si>
  <si>
    <t>700 units reported handed over in 2024; later phase announcements need reconciliation</t>
  </si>
  <si>
    <t>PIB 7 October 2024; HCI page</t>
  </si>
  <si>
    <t>Avoid double-counting different phases.</t>
  </si>
  <si>
    <t>Coast Guard Ship Huravee refit</t>
  </si>
  <si>
    <t>Maritime security</t>
  </si>
  <si>
    <t>Gratis refit / defence support</t>
  </si>
  <si>
    <t>Reported among 2024 visit outcomes</t>
  </si>
  <si>
    <t>Record as security cooperation; do not assign value without source.</t>
  </si>
  <si>
    <t>Community development projects</t>
  </si>
  <si>
    <t>Community development</t>
  </si>
  <si>
    <t>Grant / project support</t>
  </si>
  <si>
    <t>Examples in HCI bilateral relations page</t>
  </si>
  <si>
    <t>Outside study period if post-2024.</t>
  </si>
  <si>
    <t>LOANS &amp; DEBT — OFFICIAL TABLES TO TRANSCRIBE</t>
  </si>
  <si>
    <t>Dataset/table</t>
  </si>
  <si>
    <t>Variables needed</t>
  </si>
  <si>
    <t>Official source</t>
  </si>
  <si>
    <t>Extraction instructions</t>
  </si>
  <si>
    <t>Foreign loans by lending agency (Table 12.8)</t>
  </si>
  <si>
    <t>Annual loan amounts by agency, currency and year</t>
  </si>
  <si>
    <t>2012–2024 / check table</t>
  </si>
  <si>
    <t>Not transcribed; source table listed online</t>
  </si>
  <si>
    <t>Maldives Statistical Yearbook Statistical Archive</t>
  </si>
  <si>
    <t>Download XLS/PDF; retain agency names and original units.</t>
  </si>
  <si>
    <t>Major projects financed by foreign loans (Table 12.7)</t>
  </si>
  <si>
    <t>Project-level annual expenditure</t>
  </si>
  <si>
    <t>Table-specific</t>
  </si>
  <si>
    <t>Separate actual expenditure from loan commitment.</t>
  </si>
  <si>
    <t>Budgetary central government external debt (Table 12.9)</t>
  </si>
  <si>
    <t>Annual external debt indicators</t>
  </si>
  <si>
    <t>2015–2024 / check table</t>
  </si>
  <si>
    <t>Aggregate debt is not China-specific unless lender breakdown exists.</t>
  </si>
  <si>
    <t>Publicly guaranteed external debt (Table 12.10)</t>
  </si>
  <si>
    <t>Annual debt indicators</t>
  </si>
  <si>
    <t>Do not combine with central government debt without checking definitions.</t>
  </si>
  <si>
    <t>SOURCE REGISTER &amp; DATA QUALITY</t>
  </si>
  <si>
    <t>ID</t>
  </si>
  <si>
    <t>Variables supported</t>
  </si>
  <si>
    <t>URL</t>
  </si>
  <si>
    <t>Use / limitation</t>
  </si>
  <si>
    <t>S1</t>
  </si>
  <si>
    <t>High Commission of India, Malé — Bilateral Relations</t>
  </si>
  <si>
    <t>Trade, agreements and assistance examples</t>
  </si>
  <si>
    <t>Trade 2013–2024; event records</t>
  </si>
  <si>
    <t>https://www.hcimale.gov.in/page/bilateral-relations/</t>
  </si>
  <si>
    <t>Trade table credited to Maldives Customs; verify source values and year coverage.</t>
  </si>
  <si>
    <t>S2</t>
  </si>
  <si>
    <t>Maldives Statistical Yearbook / Statistical Archive, Table 9.1</t>
  </si>
  <si>
    <t>Tourist flow by nationality</t>
  </si>
  <si>
    <t>Long series through 2024</t>
  </si>
  <si>
    <t>https://statisticsmaldives.gov.mv/yearbook/statisticalarchive/</t>
  </si>
  <si>
    <t>Tourism data in this workbook are a working transcription; verify all years and reconcile source discrepancies.</t>
  </si>
  <si>
    <t>S3</t>
  </si>
  <si>
    <t>Maldives Statistical Yearbook / Statistical Archive, Table 12.6</t>
  </si>
  <si>
    <t>Foreign grants by principal donors</t>
  </si>
  <si>
    <t>MVR million; distinguish grants from loans and direct donor expenditure.</t>
  </si>
  <si>
    <t>S4</t>
  </si>
  <si>
    <t>Maldives Statistical Yearbook Tables 12.7–12.10</t>
  </si>
  <si>
    <t>Foreign-loan project expenditure, loans by lending agency, external debt</t>
  </si>
  <si>
    <t>Tables are listed online; values have not been transcribed here.</t>
  </si>
  <si>
    <t>S5</t>
  </si>
  <si>
    <t>Ministry of External Affairs, India — Treaty Database</t>
  </si>
  <si>
    <t>Bilateral treaties and agreements</t>
  </si>
  <si>
    <t>Search by country/year</t>
  </si>
  <si>
    <t>https://www.mea.gov.in/treatylist-generic.htm</t>
  </si>
  <si>
    <t>Build a systematic agreement register; record signature and entry-into-force dates.</t>
  </si>
  <si>
    <t>S6</t>
  </si>
  <si>
    <t>Press Information Bureau, Government of India — Oct 2024 visit outcomes</t>
  </si>
  <si>
    <t>Agreements, MoUs, currency swap, projects</t>
  </si>
  <si>
    <t>7 October 2024</t>
  </si>
  <si>
    <t>https://www.pib.gov.in/PressReleasePage.aspx?PRID=2062816&amp;lang=2&amp;reg=48</t>
  </si>
  <si>
    <t>Official source; code individual outcomes as needed.</t>
  </si>
  <si>
    <t>S7</t>
  </si>
  <si>
    <t>Indian Council of World Affairs — India's Military Engagement in South Asia</t>
  </si>
  <si>
    <t>Ekuverin chronology</t>
  </si>
  <si>
    <t>Selected years 2009–2025</t>
  </si>
  <si>
    <t>https://www.icwa.in/show_content.php?lang=1&amp;level=3&amp;lid=8956&amp;ls_id=14574</t>
  </si>
  <si>
    <t>Secondary policy source; confirm details with official defence releases.</t>
  </si>
  <si>
    <t>S8</t>
  </si>
  <si>
    <t>Maldives Monetary Authority, Annual Report 2024, Table 2</t>
  </si>
  <si>
    <t>Tourism indicators</t>
  </si>
  <si>
    <t>2020–2024</t>
  </si>
  <si>
    <t>https://www.mma.gov.mv/documents/Annual%20Report/2024/AR2024%20%28English%29.pdf</t>
  </si>
  <si>
    <t>Different official series may report different total-arrival figures; document your selection rule.</t>
  </si>
  <si>
    <t>S9</t>
  </si>
  <si>
    <t>India Responds — overseas assistance tracker</t>
  </si>
  <si>
    <t>Leads for project-level assistance</t>
  </si>
  <si>
    <t>Various years</t>
  </si>
  <si>
    <t>https://indiaresponds.org/</t>
  </si>
  <si>
    <t>Discovery aid only; trace each figure to original official sources.</t>
  </si>
  <si>
    <t>S10</t>
  </si>
  <si>
    <t>Maldives Ministry of Tourism statistics</t>
  </si>
  <si>
    <t>Tourism arrivals and reports</t>
  </si>
  <si>
    <t>Annual / monthly</t>
  </si>
  <si>
    <t>https://www.tourism.gov.mv/en/statistics/annual</t>
  </si>
  <si>
    <t>Use to verify gaps and nationality series.</t>
  </si>
  <si>
    <t>VARIABLE DEFINITIONS &amp; COVERAGE</t>
  </si>
  <si>
    <t>Variable</t>
  </si>
  <si>
    <t>Definition</t>
  </si>
  <si>
    <t>Unit</t>
  </si>
  <si>
    <t>Coverage/status</t>
  </si>
  <si>
    <t>Objective(s)</t>
  </si>
  <si>
    <t>Source / formula</t>
  </si>
  <si>
    <t>Trade exports/imports</t>
  </si>
  <si>
    <t>India's exports to / imports from Maldives</t>
  </si>
  <si>
    <t>US$ million</t>
  </si>
  <si>
    <t>2013–2024; verify original table</t>
  </si>
  <si>
    <t>1,5</t>
  </si>
  <si>
    <t>HCI Malé / Maldives Customs</t>
  </si>
  <si>
    <t>Trade total</t>
  </si>
  <si>
    <t>Exports plus imports</t>
  </si>
  <si>
    <t>Calculated where both values available</t>
  </si>
  <si>
    <t>Excel formula in Annual Data</t>
  </si>
  <si>
    <t>Tourist arrivals</t>
  </si>
  <si>
    <t>Total arrivals and arrivals from India/China</t>
  </si>
  <si>
    <t>Persons</t>
  </si>
  <si>
    <t>Partial annual series; verify gaps</t>
  </si>
  <si>
    <t>1,2,5,6</t>
  </si>
  <si>
    <t>Statistical Yearbook Table 9.1</t>
  </si>
  <si>
    <t>Arrival share</t>
  </si>
  <si>
    <t>Country arrivals divided by total arrivals × 100</t>
  </si>
  <si>
    <t>Percent</t>
  </si>
  <si>
    <t>Formula where both values exist</t>
  </si>
  <si>
    <t>Annual Data formulas</t>
  </si>
  <si>
    <t>Foreign grants</t>
  </si>
  <si>
    <t>Recorded grants by donor / total foreign grants</t>
  </si>
  <si>
    <t>MVR million</t>
  </si>
  <si>
    <t>2004–2024; verify transcription</t>
  </si>
  <si>
    <t>2,5,6</t>
  </si>
  <si>
    <t>Event-level record of treaty, MoU or joint outcome</t>
  </si>
  <si>
    <t>Record/count</t>
  </si>
  <si>
    <t>Selected examples; not exhaustive</t>
  </si>
  <si>
    <t>1,3,5</t>
  </si>
  <si>
    <t>MEA treaty database and official releases</t>
  </si>
  <si>
    <t>Defence exercise</t>
  </si>
  <si>
    <t>Exercise name, year, edition, location</t>
  </si>
  <si>
    <t>Event-level record</t>
  </si>
  <si>
    <t>Selected Ekuverin entries</t>
  </si>
  <si>
    <t>2,6</t>
  </si>
  <si>
    <t>ICWA and official defence sources</t>
  </si>
  <si>
    <t>Missing value</t>
  </si>
  <si>
    <t>Not available / not yet verified in the cited extract</t>
  </si>
  <si>
    <t>Blank</t>
  </si>
  <si>
    <t>Varies</t>
  </si>
  <si>
    <t>All</t>
  </si>
  <si>
    <t>Never recode blank to zero without source support.</t>
  </si>
  <si>
    <t>QUANTITATIVE ANALYSIS PLAN</t>
  </si>
  <si>
    <t>Objective</t>
  </si>
  <si>
    <t>Suggested analysis</t>
  </si>
  <si>
    <t>Indicators / sheets</t>
  </si>
  <si>
    <t>Chart / table</t>
  </si>
  <si>
    <t>Interpretation limit</t>
  </si>
  <si>
    <t>1</t>
  </si>
  <si>
    <t>Describe trends in economic and people-to-people ties</t>
  </si>
  <si>
    <t>Trade, India tourist arrivals, agreements/visits</t>
  </si>
  <si>
    <t>Line charts and event timeline</t>
  </si>
  <si>
    <t>Economic activity alone does not measure the full relationship.</t>
  </si>
  <si>
    <t>2</t>
  </si>
  <si>
    <t>Compare recorded grants and documented security activity</t>
  </si>
  <si>
    <t>India/China grants; loans to collect; Defence Register</t>
  </si>
  <si>
    <t>Grant trends and exercise chronology</t>
  </si>
  <si>
    <t>Grants are not loans or a complete measure of strategic influence.</t>
  </si>
  <si>
    <t>3</t>
  </si>
  <si>
    <t>Count agreement/visit outcomes after completing register</t>
  </si>
  <si>
    <t>Agreement Register and MEA Treaty Database</t>
  </si>
  <si>
    <t>Annual counts by type; major outcomes table</t>
  </si>
  <si>
    <t>Current event list is illustrative, not exhaustive.</t>
  </si>
  <si>
    <t>4</t>
  </si>
  <si>
    <t>Compare diplomatic-event timeline with trade/tourism trends cautiously</t>
  </si>
  <si>
    <t>Add diplomatic events; Annual Data</t>
  </si>
  <si>
    <t>Event timeline with descriptive trend charts</t>
  </si>
  <si>
    <t>Correlation or timing alone does not establish causation.</t>
  </si>
  <si>
    <t>5</t>
  </si>
  <si>
    <t>Track grants, projects, trade and tourism as policy outputs/outcomes</t>
  </si>
  <si>
    <t>Annual Data and Project Register</t>
  </si>
  <si>
    <t>Separate charts by unit and financing type</t>
  </si>
  <si>
    <t>Policy impact needs qualitative process tracing too.</t>
  </si>
  <si>
    <t>6</t>
  </si>
  <si>
    <t>Analyse exercise chronology and compare available China-related indicators</t>
  </si>
  <si>
    <t>Defence Register; China grants; loan/debt tables</t>
  </si>
  <si>
    <t>Exercise timeline and grant trend</t>
  </si>
  <si>
    <t>China grants do not equal loans, investment or strategic presence.</t>
  </si>
  <si>
    <t>Official tables to retrieve for loans/debt;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</si>
</sst>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b/>
      <sz val="13"/>
      <color rgb="FF0F6B78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3"/>
      <color rgb="FFFFFFFF"/>
      <name val="Calibri"/>
    </font>
    <font>
      <i/>
      <sz val="11"/>
      <color rgb="FF666666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5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India–Maldives Bilateral Trade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'Annual Data'!$D$1</c:f>
              <c:strCache>
                <c:ptCount val="1"/>
                <c:pt idx="0">
                  <c:v>Bilateral trade total (US$ mn; calculated)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'Annual Data'!$A$15:$A$26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'Annual Data'!$D$2:$D$26</c:f>
              <c:numCache>
                <c:formatCode>#,##0.00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166.3</c:v>
                </c:pt>
                <c:pt idx="14">
                  <c:v>173.5</c:v>
                </c:pt>
                <c:pt idx="15">
                  <c:v>228.82</c:v>
                </c:pt>
                <c:pt idx="16">
                  <c:v>276.10000000000002</c:v>
                </c:pt>
                <c:pt idx="17">
                  <c:v>286.16000000000003</c:v>
                </c:pt>
                <c:pt idx="18">
                  <c:v>289.14</c:v>
                </c:pt>
                <c:pt idx="19">
                  <c:v>293.69</c:v>
                </c:pt>
                <c:pt idx="20">
                  <c:v>245.23000000000002</c:v>
                </c:pt>
                <c:pt idx="21">
                  <c:v>323.29000000000002</c:v>
                </c:pt>
                <c:pt idx="22">
                  <c:v>501.82</c:v>
                </c:pt>
                <c:pt idx="23">
                  <c:v>548.97</c:v>
                </c:pt>
                <c:pt idx="24">
                  <c:v>517.78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D4-4932-85FF-03DDAAF5E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US$ million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Tourist Arrivals: Total, India and China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'Annual Data'!$E$1</c:f>
              <c:strCache>
                <c:ptCount val="1"/>
                <c:pt idx="0">
                  <c:v>Tourist arrivals total (yearbook series)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'Annual Data'!$A$2:$A$26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'Annual Data'!$E$2:$E$26</c:f>
              <c:numCache>
                <c:formatCode>#,##0</c:formatCode>
                <c:ptCount val="25"/>
                <c:pt idx="0">
                  <c:v>467154</c:v>
                </c:pt>
                <c:pt idx="1">
                  <c:v>460984</c:v>
                </c:pt>
                <c:pt idx="2">
                  <c:v>484680</c:v>
                </c:pt>
                <c:pt idx="3">
                  <c:v>563593</c:v>
                </c:pt>
                <c:pt idx="4">
                  <c:v>616716</c:v>
                </c:pt>
                <c:pt idx="5">
                  <c:v>395320</c:v>
                </c:pt>
                <c:pt idx="6">
                  <c:v>601923</c:v>
                </c:pt>
                <c:pt idx="7">
                  <c:v>677532</c:v>
                </c:pt>
                <c:pt idx="8">
                  <c:v>683012</c:v>
                </c:pt>
                <c:pt idx="9">
                  <c:v>655852</c:v>
                </c:pt>
                <c:pt idx="10">
                  <c:v>791917</c:v>
                </c:pt>
                <c:pt idx="11">
                  <c:v>931333</c:v>
                </c:pt>
                <c:pt idx="12">
                  <c:v>958025</c:v>
                </c:pt>
                <c:pt idx="13">
                  <c:v>1125202</c:v>
                </c:pt>
                <c:pt idx="14">
                  <c:v>1204857</c:v>
                </c:pt>
                <c:pt idx="16">
                  <c:v>1234248</c:v>
                </c:pt>
                <c:pt idx="17">
                  <c:v>1286135</c:v>
                </c:pt>
                <c:pt idx="18">
                  <c:v>1389542</c:v>
                </c:pt>
                <c:pt idx="19">
                  <c:v>1484274</c:v>
                </c:pt>
                <c:pt idx="20">
                  <c:v>1702887</c:v>
                </c:pt>
                <c:pt idx="21">
                  <c:v>555494</c:v>
                </c:pt>
                <c:pt idx="22">
                  <c:v>1321937</c:v>
                </c:pt>
                <c:pt idx="23">
                  <c:v>1675303</c:v>
                </c:pt>
                <c:pt idx="24">
                  <c:v>1878543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EB-44A7-82EA-512A3D54D32D}"/>
            </c:ext>
          </c:extLst>
        </c:ser>
        <c:ser>
          <c:idx val="1"/>
          <c:order val="1"/>
          <c:tx>
            <c:strRef>
              <c:f>'Annual Data'!$F$1</c:f>
              <c:strCache>
                <c:ptCount val="1"/>
                <c:pt idx="0">
                  <c:v>Arrivals from India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'Annual Data'!$A$2:$A$26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'Annual Data'!$F$2:$F$26</c:f>
              <c:numCache>
                <c:formatCode>#,##0</c:formatCode>
                <c:ptCount val="25"/>
                <c:pt idx="0">
                  <c:v>10616</c:v>
                </c:pt>
                <c:pt idx="1">
                  <c:v>8511</c:v>
                </c:pt>
                <c:pt idx="2">
                  <c:v>11377</c:v>
                </c:pt>
                <c:pt idx="3">
                  <c:v>11502</c:v>
                </c:pt>
                <c:pt idx="4">
                  <c:v>10999</c:v>
                </c:pt>
                <c:pt idx="5">
                  <c:v>10260</c:v>
                </c:pt>
                <c:pt idx="6">
                  <c:v>12071</c:v>
                </c:pt>
                <c:pt idx="7">
                  <c:v>17327</c:v>
                </c:pt>
                <c:pt idx="8">
                  <c:v>16663</c:v>
                </c:pt>
                <c:pt idx="9">
                  <c:v>15850</c:v>
                </c:pt>
                <c:pt idx="10">
                  <c:v>25756</c:v>
                </c:pt>
                <c:pt idx="11">
                  <c:v>30978</c:v>
                </c:pt>
                <c:pt idx="12">
                  <c:v>31721</c:v>
                </c:pt>
                <c:pt idx="13">
                  <c:v>38014</c:v>
                </c:pt>
                <c:pt idx="14">
                  <c:v>45587</c:v>
                </c:pt>
                <c:pt idx="16">
                  <c:v>52368</c:v>
                </c:pt>
                <c:pt idx="17">
                  <c:v>66955</c:v>
                </c:pt>
                <c:pt idx="18">
                  <c:v>83019</c:v>
                </c:pt>
                <c:pt idx="19">
                  <c:v>90474</c:v>
                </c:pt>
                <c:pt idx="20">
                  <c:v>166030</c:v>
                </c:pt>
                <c:pt idx="21">
                  <c:v>62960</c:v>
                </c:pt>
                <c:pt idx="22">
                  <c:v>291787</c:v>
                </c:pt>
                <c:pt idx="23">
                  <c:v>241382</c:v>
                </c:pt>
                <c:pt idx="24">
                  <c:v>209193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EB-44A7-82EA-512A3D54D32D}"/>
            </c:ext>
          </c:extLst>
        </c:ser>
        <c:ser>
          <c:idx val="2"/>
          <c:order val="2"/>
          <c:tx>
            <c:strRef>
              <c:f>'Annual Data'!$G$1</c:f>
              <c:strCache>
                <c:ptCount val="1"/>
                <c:pt idx="0">
                  <c:v>Arrivals from China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'Annual Data'!$A$2:$A$26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'Annual Data'!$G$2:$G$26</c:f>
              <c:numCache>
                <c:formatCode>#,##0</c:formatCode>
                <c:ptCount val="25"/>
                <c:pt idx="0">
                  <c:v>5380</c:v>
                </c:pt>
                <c:pt idx="1">
                  <c:v>7343</c:v>
                </c:pt>
                <c:pt idx="2">
                  <c:v>12400</c:v>
                </c:pt>
                <c:pt idx="3">
                  <c:v>15021</c:v>
                </c:pt>
                <c:pt idx="4">
                  <c:v>23358</c:v>
                </c:pt>
                <c:pt idx="5">
                  <c:v>12332</c:v>
                </c:pt>
                <c:pt idx="6">
                  <c:v>27705</c:v>
                </c:pt>
                <c:pt idx="7">
                  <c:v>37994</c:v>
                </c:pt>
                <c:pt idx="8">
                  <c:v>43744</c:v>
                </c:pt>
                <c:pt idx="9">
                  <c:v>60666</c:v>
                </c:pt>
                <c:pt idx="10">
                  <c:v>118961</c:v>
                </c:pt>
                <c:pt idx="11">
                  <c:v>198655</c:v>
                </c:pt>
                <c:pt idx="12">
                  <c:v>229551</c:v>
                </c:pt>
                <c:pt idx="13">
                  <c:v>331719</c:v>
                </c:pt>
                <c:pt idx="14">
                  <c:v>363626</c:v>
                </c:pt>
                <c:pt idx="16">
                  <c:v>359514</c:v>
                </c:pt>
                <c:pt idx="17">
                  <c:v>324326</c:v>
                </c:pt>
                <c:pt idx="18">
                  <c:v>306530</c:v>
                </c:pt>
                <c:pt idx="19">
                  <c:v>283116</c:v>
                </c:pt>
                <c:pt idx="20">
                  <c:v>284029</c:v>
                </c:pt>
                <c:pt idx="21">
                  <c:v>34245</c:v>
                </c:pt>
                <c:pt idx="22">
                  <c:v>2238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EB-44A7-82EA-512A3D54D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Persons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Recorded Grants: India vs China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'Annual Data'!$K$1</c:f>
              <c:strCache>
                <c:ptCount val="1"/>
                <c:pt idx="0">
                  <c:v>India grants (MVR mn)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'Annual Data'!$A$6:$A$26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'Annual Data'!$K$2:$K$26</c:f>
              <c:numCache>
                <c:formatCode>#,##0.00</c:formatCode>
                <c:ptCount val="25"/>
                <c:pt idx="4">
                  <c:v>0.2</c:v>
                </c:pt>
                <c:pt idx="6">
                  <c:v>0.2</c:v>
                </c:pt>
                <c:pt idx="7">
                  <c:v>31.2</c:v>
                </c:pt>
                <c:pt idx="8">
                  <c:v>13.2</c:v>
                </c:pt>
                <c:pt idx="9">
                  <c:v>0.4</c:v>
                </c:pt>
                <c:pt idx="11">
                  <c:v>292.8</c:v>
                </c:pt>
                <c:pt idx="12">
                  <c:v>37.200000000000003</c:v>
                </c:pt>
                <c:pt idx="13">
                  <c:v>17.100000000000001</c:v>
                </c:pt>
                <c:pt idx="14">
                  <c:v>24.4</c:v>
                </c:pt>
                <c:pt idx="15">
                  <c:v>0</c:v>
                </c:pt>
                <c:pt idx="16">
                  <c:v>3.7</c:v>
                </c:pt>
                <c:pt idx="18">
                  <c:v>383.8</c:v>
                </c:pt>
                <c:pt idx="19">
                  <c:v>876.4</c:v>
                </c:pt>
                <c:pt idx="20">
                  <c:v>22</c:v>
                </c:pt>
                <c:pt idx="21">
                  <c:v>287.3</c:v>
                </c:pt>
                <c:pt idx="22">
                  <c:v>36.1</c:v>
                </c:pt>
                <c:pt idx="23">
                  <c:v>67.099999999999994</c:v>
                </c:pt>
                <c:pt idx="24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FC-4A0A-9C65-F490376B1C11}"/>
            </c:ext>
          </c:extLst>
        </c:ser>
        <c:ser>
          <c:idx val="1"/>
          <c:order val="1"/>
          <c:tx>
            <c:strRef>
              <c:f>'Annual Data'!$L$1</c:f>
              <c:strCache>
                <c:ptCount val="1"/>
                <c:pt idx="0">
                  <c:v>China grants (MVR mn)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'Annual Data'!$A$6:$A$26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'Annual Data'!$L$2:$L$26</c:f>
              <c:numCache>
                <c:formatCode>#,##0.00</c:formatCode>
                <c:ptCount val="25"/>
                <c:pt idx="4">
                  <c:v>6.2</c:v>
                </c:pt>
                <c:pt idx="5">
                  <c:v>25.5</c:v>
                </c:pt>
                <c:pt idx="6">
                  <c:v>0.8</c:v>
                </c:pt>
                <c:pt idx="7">
                  <c:v>2</c:v>
                </c:pt>
                <c:pt idx="8">
                  <c:v>21.4</c:v>
                </c:pt>
                <c:pt idx="9">
                  <c:v>44.2</c:v>
                </c:pt>
                <c:pt idx="10">
                  <c:v>98.7</c:v>
                </c:pt>
                <c:pt idx="11">
                  <c:v>204.5</c:v>
                </c:pt>
                <c:pt idx="14">
                  <c:v>1.5</c:v>
                </c:pt>
                <c:pt idx="15">
                  <c:v>17.5</c:v>
                </c:pt>
                <c:pt idx="16">
                  <c:v>24.5</c:v>
                </c:pt>
                <c:pt idx="17">
                  <c:v>2.6</c:v>
                </c:pt>
                <c:pt idx="19">
                  <c:v>6.2</c:v>
                </c:pt>
                <c:pt idx="21">
                  <c:v>0</c:v>
                </c:pt>
                <c:pt idx="23">
                  <c:v>0</c:v>
                </c:pt>
                <c:pt idx="24">
                  <c:v>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FC-4A0A-9C65-F490376B1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MVR million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4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showGridLines="0" tabSelected="1" workbookViewId="0">
      <selection activeCell="L11" sqref="L11"/>
    </sheetView>
  </sheetViews>
  <sheetFormatPr defaultRowHeight="14.4" x14ac:dyDescent="0.3"/>
  <cols>
    <col min="1" max="1" width="30" customWidth="1"/>
    <col min="2" max="2" width="34" customWidth="1"/>
    <col min="3" max="6" width="18" customWidth="1"/>
  </cols>
  <sheetData>
    <row r="1" spans="1:6" ht="34.049999999999997" customHeight="1" x14ac:dyDescent="0.3">
      <c r="A1" s="11" t="s">
        <v>0</v>
      </c>
      <c r="B1" s="9"/>
      <c r="C1" s="9"/>
      <c r="D1" s="9"/>
      <c r="E1" s="9"/>
      <c r="F1" s="9"/>
    </row>
    <row r="3" spans="1:6" x14ac:dyDescent="0.3">
      <c r="A3" s="14" t="s">
        <v>1</v>
      </c>
      <c r="B3" s="9"/>
      <c r="C3" s="9"/>
      <c r="D3" s="9"/>
      <c r="E3" s="9"/>
      <c r="F3" s="9"/>
    </row>
    <row r="5" spans="1:6" x14ac:dyDescent="0.3">
      <c r="A5" s="12" t="s">
        <v>2</v>
      </c>
      <c r="B5" s="9"/>
      <c r="C5" s="9"/>
      <c r="D5" s="9"/>
      <c r="E5" s="9"/>
      <c r="F5" s="9"/>
    </row>
    <row r="6" spans="1:6" ht="30" customHeight="1" x14ac:dyDescent="0.3">
      <c r="A6" s="1" t="s">
        <v>3</v>
      </c>
      <c r="B6" s="13" t="s">
        <v>4</v>
      </c>
      <c r="C6" s="9"/>
      <c r="D6" s="9"/>
      <c r="E6" s="9"/>
      <c r="F6" s="9"/>
    </row>
    <row r="7" spans="1:6" ht="30" customHeight="1" x14ac:dyDescent="0.3">
      <c r="A7" s="1" t="s">
        <v>5</v>
      </c>
      <c r="B7" s="13" t="s">
        <v>6</v>
      </c>
      <c r="C7" s="9"/>
      <c r="D7" s="9"/>
      <c r="E7" s="9"/>
      <c r="F7" s="9"/>
    </row>
    <row r="8" spans="1:6" ht="30" customHeight="1" x14ac:dyDescent="0.3">
      <c r="A8" s="1" t="s">
        <v>7</v>
      </c>
      <c r="B8" s="13" t="s">
        <v>8</v>
      </c>
      <c r="C8" s="9"/>
      <c r="D8" s="9"/>
      <c r="E8" s="9"/>
      <c r="F8" s="9"/>
    </row>
    <row r="9" spans="1:6" ht="30" customHeight="1" x14ac:dyDescent="0.3">
      <c r="A9" s="1" t="s">
        <v>9</v>
      </c>
      <c r="B9" s="13" t="s">
        <v>10</v>
      </c>
      <c r="C9" s="9"/>
      <c r="D9" s="9"/>
      <c r="E9" s="9"/>
      <c r="F9" s="9"/>
    </row>
    <row r="10" spans="1:6" ht="30" customHeight="1" x14ac:dyDescent="0.3">
      <c r="A10" s="1" t="s">
        <v>11</v>
      </c>
      <c r="B10" s="13" t="s">
        <v>12</v>
      </c>
      <c r="C10" s="9"/>
      <c r="D10" s="9"/>
      <c r="E10" s="9"/>
      <c r="F10" s="9"/>
    </row>
    <row r="11" spans="1:6" ht="30" customHeight="1" x14ac:dyDescent="0.3">
      <c r="A11" s="1" t="s">
        <v>13</v>
      </c>
      <c r="B11" s="13" t="s">
        <v>470</v>
      </c>
      <c r="C11" s="9"/>
      <c r="D11" s="9"/>
      <c r="E11" s="9"/>
      <c r="F11" s="9"/>
    </row>
    <row r="12" spans="1:6" ht="30" customHeight="1" x14ac:dyDescent="0.3">
      <c r="A12" s="1" t="s">
        <v>14</v>
      </c>
      <c r="B12" s="13" t="s">
        <v>15</v>
      </c>
      <c r="C12" s="9"/>
      <c r="D12" s="9"/>
      <c r="E12" s="9"/>
      <c r="F12" s="9"/>
    </row>
    <row r="13" spans="1:6" ht="30" customHeight="1" x14ac:dyDescent="0.3">
      <c r="A13" s="1" t="s">
        <v>16</v>
      </c>
      <c r="B13" s="13" t="s">
        <v>17</v>
      </c>
      <c r="C13" s="9"/>
      <c r="D13" s="9"/>
      <c r="E13" s="9"/>
      <c r="F13" s="9"/>
    </row>
    <row r="16" spans="1:6" x14ac:dyDescent="0.3">
      <c r="A16" s="12" t="s">
        <v>18</v>
      </c>
      <c r="B16" s="9"/>
      <c r="C16" s="9"/>
      <c r="D16" s="9"/>
      <c r="E16" s="9"/>
      <c r="F16" s="9"/>
    </row>
    <row r="17" spans="1:6" ht="30" customHeight="1" x14ac:dyDescent="0.3">
      <c r="A17" s="2" t="s">
        <v>19</v>
      </c>
      <c r="B17" s="13" t="s">
        <v>20</v>
      </c>
      <c r="C17" s="9"/>
      <c r="D17" s="9"/>
      <c r="E17" s="9"/>
      <c r="F17" s="9"/>
    </row>
    <row r="18" spans="1:6" ht="30" customHeight="1" x14ac:dyDescent="0.3">
      <c r="A18" s="2" t="s">
        <v>19</v>
      </c>
      <c r="B18" s="13" t="s">
        <v>21</v>
      </c>
      <c r="C18" s="9"/>
      <c r="D18" s="9"/>
      <c r="E18" s="9"/>
      <c r="F18" s="9"/>
    </row>
    <row r="19" spans="1:6" ht="30" customHeight="1" x14ac:dyDescent="0.3">
      <c r="A19" s="2" t="s">
        <v>19</v>
      </c>
      <c r="B19" s="13" t="s">
        <v>22</v>
      </c>
      <c r="C19" s="9"/>
      <c r="D19" s="9"/>
      <c r="E19" s="9"/>
      <c r="F19" s="9"/>
    </row>
    <row r="20" spans="1:6" ht="30" customHeight="1" x14ac:dyDescent="0.3">
      <c r="A20" s="2" t="s">
        <v>19</v>
      </c>
      <c r="B20" s="13" t="s">
        <v>23</v>
      </c>
      <c r="C20" s="9"/>
      <c r="D20" s="9"/>
      <c r="E20" s="9"/>
      <c r="F20" s="9"/>
    </row>
    <row r="21" spans="1:6" ht="30" customHeight="1" x14ac:dyDescent="0.3">
      <c r="A21" s="2" t="s">
        <v>19</v>
      </c>
      <c r="B21" s="13" t="s">
        <v>24</v>
      </c>
      <c r="C21" s="9"/>
      <c r="D21" s="9"/>
      <c r="E21" s="9"/>
      <c r="F21" s="9"/>
    </row>
  </sheetData>
  <mergeCells count="17">
    <mergeCell ref="B21:F21"/>
    <mergeCell ref="A16:F16"/>
    <mergeCell ref="B12:F12"/>
    <mergeCell ref="B7:F7"/>
    <mergeCell ref="B6:F6"/>
    <mergeCell ref="B20:F20"/>
    <mergeCell ref="B10:F10"/>
    <mergeCell ref="A1:F1"/>
    <mergeCell ref="A5:F5"/>
    <mergeCell ref="B11:F11"/>
    <mergeCell ref="B18:F18"/>
    <mergeCell ref="B19:F19"/>
    <mergeCell ref="B8:F8"/>
    <mergeCell ref="A3:F3"/>
    <mergeCell ref="B17:F17"/>
    <mergeCell ref="B9:F9"/>
    <mergeCell ref="B13:F13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"/>
  <sheetViews>
    <sheetView showGridLines="0" topLeftCell="A16" workbookViewId="0">
      <selection activeCell="F32" sqref="F32"/>
    </sheetView>
  </sheetViews>
  <sheetFormatPr defaultRowHeight="14.4" x14ac:dyDescent="0.3"/>
  <cols>
    <col min="1" max="1" width="20" customWidth="1"/>
    <col min="2" max="8" width="18" customWidth="1"/>
    <col min="9" max="9" width="4" customWidth="1"/>
    <col min="10" max="10" width="18" customWidth="1"/>
  </cols>
  <sheetData>
    <row r="1" spans="1:8" x14ac:dyDescent="0.3">
      <c r="A1" s="15" t="s">
        <v>25</v>
      </c>
      <c r="B1" s="9"/>
      <c r="C1" s="9"/>
      <c r="D1" s="9"/>
      <c r="E1" s="9"/>
      <c r="F1" s="9"/>
      <c r="G1" s="9"/>
      <c r="H1" s="9"/>
    </row>
    <row r="3" spans="1:8" x14ac:dyDescent="0.3">
      <c r="A3" s="8" t="s">
        <v>26</v>
      </c>
      <c r="B3" s="9"/>
      <c r="C3" s="9"/>
      <c r="D3" s="9"/>
      <c r="E3" s="9"/>
      <c r="F3" s="9"/>
      <c r="G3" s="9"/>
      <c r="H3" s="9"/>
    </row>
  </sheetData>
  <mergeCells count="2">
    <mergeCell ref="A3:H3"/>
    <mergeCell ref="A1:H1"/>
  </mergeCells>
  <pageMargins left="0.75" right="0.75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22" customWidth="1"/>
    <col min="4" max="4" width="27" customWidth="1"/>
    <col min="5" max="5" width="25" customWidth="1"/>
    <col min="6" max="7" width="20" customWidth="1"/>
    <col min="8" max="9" width="21" customWidth="1"/>
    <col min="10" max="10" width="22" customWidth="1"/>
    <col min="11" max="12" width="20" customWidth="1"/>
    <col min="13" max="13" width="23" customWidth="1"/>
    <col min="14" max="14" width="65" customWidth="1"/>
  </cols>
  <sheetData>
    <row r="1" spans="1:14" ht="42" customHeight="1" x14ac:dyDescent="0.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</row>
    <row r="2" spans="1:14" ht="43.2" x14ac:dyDescent="0.3">
      <c r="A2" s="4">
        <v>2000</v>
      </c>
      <c r="B2" s="5"/>
      <c r="C2" s="5"/>
      <c r="D2" s="5" t="str">
        <f t="shared" ref="D2:D26" si="0">IF(OR(B2="",C2=""),"",B2+C2)</f>
        <v/>
      </c>
      <c r="E2" s="6">
        <v>467154</v>
      </c>
      <c r="F2" s="6">
        <v>10616</v>
      </c>
      <c r="G2" s="6">
        <v>5380</v>
      </c>
      <c r="H2" s="7">
        <f t="shared" ref="H2:H26" si="1">IF(OR(E2="",F2=""),"",F2/E2*100)</f>
        <v>2.2724840202588439</v>
      </c>
      <c r="I2" s="7">
        <f t="shared" ref="I2:I26" si="2">IF(OR(E2="",G2=""),"",G2/E2*100)</f>
        <v>1.1516544865290674</v>
      </c>
      <c r="J2" s="5"/>
      <c r="K2" s="5"/>
      <c r="L2" s="5"/>
      <c r="M2" s="5"/>
      <c r="N2" s="4" t="s">
        <v>41</v>
      </c>
    </row>
    <row r="3" spans="1:14" ht="43.2" x14ac:dyDescent="0.3">
      <c r="A3" s="4">
        <v>2001</v>
      </c>
      <c r="B3" s="5"/>
      <c r="C3" s="5"/>
      <c r="D3" s="5" t="str">
        <f t="shared" si="0"/>
        <v/>
      </c>
      <c r="E3" s="6">
        <v>460984</v>
      </c>
      <c r="F3" s="6">
        <v>8511</v>
      </c>
      <c r="G3" s="6">
        <v>7343</v>
      </c>
      <c r="H3" s="7">
        <f t="shared" si="1"/>
        <v>1.8462679832705691</v>
      </c>
      <c r="I3" s="7">
        <f t="shared" si="2"/>
        <v>1.5928969335161307</v>
      </c>
      <c r="J3" s="5"/>
      <c r="K3" s="5"/>
      <c r="L3" s="5"/>
      <c r="M3" s="5"/>
      <c r="N3" s="4" t="s">
        <v>41</v>
      </c>
    </row>
    <row r="4" spans="1:14" ht="43.2" x14ac:dyDescent="0.3">
      <c r="A4" s="4">
        <v>2002</v>
      </c>
      <c r="B4" s="5"/>
      <c r="C4" s="5"/>
      <c r="D4" s="5" t="str">
        <f t="shared" si="0"/>
        <v/>
      </c>
      <c r="E4" s="6">
        <v>484680</v>
      </c>
      <c r="F4" s="6">
        <v>11377</v>
      </c>
      <c r="G4" s="6">
        <v>12400</v>
      </c>
      <c r="H4" s="7">
        <f t="shared" si="1"/>
        <v>2.3473219443756705</v>
      </c>
      <c r="I4" s="7">
        <f t="shared" si="2"/>
        <v>2.5583890401914666</v>
      </c>
      <c r="J4" s="5"/>
      <c r="K4" s="5"/>
      <c r="L4" s="5"/>
      <c r="M4" s="5"/>
      <c r="N4" s="4" t="s">
        <v>41</v>
      </c>
    </row>
    <row r="5" spans="1:14" ht="43.2" x14ac:dyDescent="0.3">
      <c r="A5" s="4">
        <v>2003</v>
      </c>
      <c r="B5" s="5"/>
      <c r="C5" s="5"/>
      <c r="D5" s="5" t="str">
        <f t="shared" si="0"/>
        <v/>
      </c>
      <c r="E5" s="6">
        <v>563593</v>
      </c>
      <c r="F5" s="6">
        <v>11502</v>
      </c>
      <c r="G5" s="6">
        <v>15021</v>
      </c>
      <c r="H5" s="7">
        <f t="shared" si="1"/>
        <v>2.0408344319393605</v>
      </c>
      <c r="I5" s="7">
        <f t="shared" si="2"/>
        <v>2.6652211791132965</v>
      </c>
      <c r="J5" s="5"/>
      <c r="K5" s="5"/>
      <c r="L5" s="5"/>
      <c r="M5" s="5"/>
      <c r="N5" s="4" t="s">
        <v>41</v>
      </c>
    </row>
    <row r="6" spans="1:14" ht="43.2" x14ac:dyDescent="0.3">
      <c r="A6" s="4">
        <v>2004</v>
      </c>
      <c r="B6" s="5"/>
      <c r="C6" s="5"/>
      <c r="D6" s="5" t="str">
        <f t="shared" si="0"/>
        <v/>
      </c>
      <c r="E6" s="6">
        <v>616716</v>
      </c>
      <c r="F6" s="6">
        <v>10999</v>
      </c>
      <c r="G6" s="6">
        <v>23358</v>
      </c>
      <c r="H6" s="7">
        <f t="shared" si="1"/>
        <v>1.7834789433061573</v>
      </c>
      <c r="I6" s="7">
        <f t="shared" si="2"/>
        <v>3.7874807853209584</v>
      </c>
      <c r="J6" s="5">
        <v>72.900000000000006</v>
      </c>
      <c r="K6" s="5">
        <v>0.2</v>
      </c>
      <c r="L6" s="5">
        <v>6.2</v>
      </c>
      <c r="M6" s="5">
        <v>35</v>
      </c>
      <c r="N6" s="4" t="s">
        <v>41</v>
      </c>
    </row>
    <row r="7" spans="1:14" ht="43.2" x14ac:dyDescent="0.3">
      <c r="A7" s="4">
        <v>2005</v>
      </c>
      <c r="B7" s="5"/>
      <c r="C7" s="5"/>
      <c r="D7" s="5" t="str">
        <f t="shared" si="0"/>
        <v/>
      </c>
      <c r="E7" s="6">
        <v>395320</v>
      </c>
      <c r="F7" s="6">
        <v>10260</v>
      </c>
      <c r="G7" s="6">
        <v>12332</v>
      </c>
      <c r="H7" s="7">
        <f t="shared" si="1"/>
        <v>2.5953657796215723</v>
      </c>
      <c r="I7" s="7">
        <f t="shared" si="2"/>
        <v>3.1194981280987553</v>
      </c>
      <c r="J7" s="5">
        <v>824.6</v>
      </c>
      <c r="K7" s="5"/>
      <c r="L7" s="5">
        <v>25.5</v>
      </c>
      <c r="M7" s="5">
        <v>51.4</v>
      </c>
      <c r="N7" s="4" t="s">
        <v>41</v>
      </c>
    </row>
    <row r="8" spans="1:14" ht="43.2" x14ac:dyDescent="0.3">
      <c r="A8" s="4">
        <v>2006</v>
      </c>
      <c r="B8" s="5"/>
      <c r="C8" s="5"/>
      <c r="D8" s="5" t="str">
        <f t="shared" si="0"/>
        <v/>
      </c>
      <c r="E8" s="6">
        <v>601923</v>
      </c>
      <c r="F8" s="6">
        <v>12071</v>
      </c>
      <c r="G8" s="6">
        <v>27705</v>
      </c>
      <c r="H8" s="7">
        <f t="shared" si="1"/>
        <v>2.0054060070806399</v>
      </c>
      <c r="I8" s="7">
        <f t="shared" si="2"/>
        <v>4.6027481920444968</v>
      </c>
      <c r="J8" s="5">
        <v>867.4</v>
      </c>
      <c r="K8" s="5">
        <v>0.2</v>
      </c>
      <c r="L8" s="5">
        <v>0.8</v>
      </c>
      <c r="M8" s="5">
        <v>61.4</v>
      </c>
      <c r="N8" s="4" t="s">
        <v>41</v>
      </c>
    </row>
    <row r="9" spans="1:14" ht="43.2" x14ac:dyDescent="0.3">
      <c r="A9" s="4">
        <v>2007</v>
      </c>
      <c r="B9" s="5"/>
      <c r="C9" s="5"/>
      <c r="D9" s="5" t="str">
        <f t="shared" si="0"/>
        <v/>
      </c>
      <c r="E9" s="6">
        <v>677532</v>
      </c>
      <c r="F9" s="6">
        <v>17327</v>
      </c>
      <c r="G9" s="6">
        <v>37994</v>
      </c>
      <c r="H9" s="7">
        <f t="shared" si="1"/>
        <v>2.557369984000756</v>
      </c>
      <c r="I9" s="7">
        <f t="shared" si="2"/>
        <v>5.6077056139045833</v>
      </c>
      <c r="J9" s="5">
        <v>1044</v>
      </c>
      <c r="K9" s="5">
        <v>31.2</v>
      </c>
      <c r="L9" s="5">
        <v>2</v>
      </c>
      <c r="M9" s="5">
        <v>145.69999999999999</v>
      </c>
      <c r="N9" s="4" t="s">
        <v>41</v>
      </c>
    </row>
    <row r="10" spans="1:14" ht="43.2" x14ac:dyDescent="0.3">
      <c r="A10" s="4">
        <v>2008</v>
      </c>
      <c r="B10" s="5"/>
      <c r="C10" s="5"/>
      <c r="D10" s="5" t="str">
        <f t="shared" si="0"/>
        <v/>
      </c>
      <c r="E10" s="6">
        <v>683012</v>
      </c>
      <c r="F10" s="6">
        <v>16663</v>
      </c>
      <c r="G10" s="6">
        <v>43744</v>
      </c>
      <c r="H10" s="7">
        <f t="shared" si="1"/>
        <v>2.4396350283743184</v>
      </c>
      <c r="I10" s="7">
        <f t="shared" si="2"/>
        <v>6.4045726868634816</v>
      </c>
      <c r="J10" s="5">
        <v>517</v>
      </c>
      <c r="K10" s="5">
        <v>13.2</v>
      </c>
      <c r="L10" s="5">
        <v>21.4</v>
      </c>
      <c r="M10" s="5">
        <v>103.4</v>
      </c>
      <c r="N10" s="4" t="s">
        <v>41</v>
      </c>
    </row>
    <row r="11" spans="1:14" ht="43.2" x14ac:dyDescent="0.3">
      <c r="A11" s="4">
        <v>2009</v>
      </c>
      <c r="B11" s="5"/>
      <c r="C11" s="5"/>
      <c r="D11" s="5" t="str">
        <f t="shared" si="0"/>
        <v/>
      </c>
      <c r="E11" s="6">
        <v>655852</v>
      </c>
      <c r="F11" s="6">
        <v>15850</v>
      </c>
      <c r="G11" s="6">
        <v>60666</v>
      </c>
      <c r="H11" s="7">
        <f t="shared" si="1"/>
        <v>2.4167037685331447</v>
      </c>
      <c r="I11" s="7">
        <f t="shared" si="2"/>
        <v>9.2499527332385956</v>
      </c>
      <c r="J11" s="5">
        <v>421.5</v>
      </c>
      <c r="K11" s="5">
        <v>0.4</v>
      </c>
      <c r="L11" s="5">
        <v>44.2</v>
      </c>
      <c r="M11" s="5">
        <v>110.2</v>
      </c>
      <c r="N11" s="4" t="s">
        <v>41</v>
      </c>
    </row>
    <row r="12" spans="1:14" ht="43.2" x14ac:dyDescent="0.3">
      <c r="A12" s="4">
        <v>2010</v>
      </c>
      <c r="B12" s="5"/>
      <c r="C12" s="5"/>
      <c r="D12" s="5" t="str">
        <f t="shared" si="0"/>
        <v/>
      </c>
      <c r="E12" s="6">
        <v>791917</v>
      </c>
      <c r="F12" s="6">
        <v>25756</v>
      </c>
      <c r="G12" s="6">
        <v>118961</v>
      </c>
      <c r="H12" s="7">
        <f t="shared" si="1"/>
        <v>3.2523610428870704</v>
      </c>
      <c r="I12" s="7">
        <f t="shared" si="2"/>
        <v>15.021902547868022</v>
      </c>
      <c r="J12" s="5">
        <v>106.9</v>
      </c>
      <c r="K12" s="5"/>
      <c r="L12" s="5">
        <v>98.7</v>
      </c>
      <c r="M12" s="5">
        <v>100.1</v>
      </c>
      <c r="N12" s="4" t="s">
        <v>41</v>
      </c>
    </row>
    <row r="13" spans="1:14" ht="43.2" x14ac:dyDescent="0.3">
      <c r="A13" s="4">
        <v>2011</v>
      </c>
      <c r="B13" s="5"/>
      <c r="C13" s="5"/>
      <c r="D13" s="5" t="str">
        <f t="shared" si="0"/>
        <v/>
      </c>
      <c r="E13" s="6">
        <v>931333</v>
      </c>
      <c r="F13" s="6">
        <v>30978</v>
      </c>
      <c r="G13" s="6">
        <v>198655</v>
      </c>
      <c r="H13" s="7">
        <f t="shared" si="1"/>
        <v>3.3262001883322077</v>
      </c>
      <c r="I13" s="7">
        <f t="shared" si="2"/>
        <v>21.330179430987627</v>
      </c>
      <c r="J13" s="5">
        <v>732.4</v>
      </c>
      <c r="K13" s="5">
        <v>292.8</v>
      </c>
      <c r="L13" s="5">
        <v>204.5</v>
      </c>
      <c r="M13" s="5">
        <v>704.8</v>
      </c>
      <c r="N13" s="4" t="s">
        <v>41</v>
      </c>
    </row>
    <row r="14" spans="1:14" ht="43.2" x14ac:dyDescent="0.3">
      <c r="A14" s="4">
        <v>2012</v>
      </c>
      <c r="B14" s="5"/>
      <c r="C14" s="5"/>
      <c r="D14" s="5" t="str">
        <f t="shared" si="0"/>
        <v/>
      </c>
      <c r="E14" s="6">
        <v>958025</v>
      </c>
      <c r="F14" s="6">
        <v>31721</v>
      </c>
      <c r="G14" s="6">
        <v>229551</v>
      </c>
      <c r="H14" s="7">
        <f t="shared" si="1"/>
        <v>3.3110826961718116</v>
      </c>
      <c r="I14" s="7">
        <f t="shared" si="2"/>
        <v>23.960856971373399</v>
      </c>
      <c r="J14" s="5">
        <v>366.7</v>
      </c>
      <c r="K14" s="5">
        <v>37.200000000000003</v>
      </c>
      <c r="L14" s="5"/>
      <c r="M14" s="5">
        <v>194.4</v>
      </c>
      <c r="N14" s="4" t="s">
        <v>41</v>
      </c>
    </row>
    <row r="15" spans="1:14" ht="43.2" x14ac:dyDescent="0.3">
      <c r="A15" s="4">
        <v>2013</v>
      </c>
      <c r="B15" s="5">
        <v>154</v>
      </c>
      <c r="C15" s="5">
        <v>12.3</v>
      </c>
      <c r="D15" s="5">
        <f t="shared" si="0"/>
        <v>166.3</v>
      </c>
      <c r="E15" s="6">
        <v>1125202</v>
      </c>
      <c r="F15" s="6">
        <v>38014</v>
      </c>
      <c r="G15" s="6">
        <v>331719</v>
      </c>
      <c r="H15" s="7">
        <f t="shared" si="1"/>
        <v>3.3784156089306636</v>
      </c>
      <c r="I15" s="7">
        <f t="shared" si="2"/>
        <v>29.480839884749582</v>
      </c>
      <c r="J15" s="5">
        <v>117.6</v>
      </c>
      <c r="K15" s="5">
        <v>17.100000000000001</v>
      </c>
      <c r="L15" s="5"/>
      <c r="M15" s="5">
        <v>47.5</v>
      </c>
      <c r="N15" s="4" t="s">
        <v>41</v>
      </c>
    </row>
    <row r="16" spans="1:14" ht="43.2" x14ac:dyDescent="0.3">
      <c r="A16" s="4">
        <v>2014</v>
      </c>
      <c r="B16" s="5">
        <v>170.6</v>
      </c>
      <c r="C16" s="5">
        <v>2.9</v>
      </c>
      <c r="D16" s="5">
        <f t="shared" si="0"/>
        <v>173.5</v>
      </c>
      <c r="E16" s="6">
        <v>1204857</v>
      </c>
      <c r="F16" s="6">
        <v>45587</v>
      </c>
      <c r="G16" s="6">
        <v>363626</v>
      </c>
      <c r="H16" s="7">
        <f t="shared" si="1"/>
        <v>3.7836025354046163</v>
      </c>
      <c r="I16" s="7">
        <f t="shared" si="2"/>
        <v>30.180013063790973</v>
      </c>
      <c r="J16" s="5">
        <v>165.3</v>
      </c>
      <c r="K16" s="5">
        <v>24.4</v>
      </c>
      <c r="L16" s="5">
        <v>1.5</v>
      </c>
      <c r="M16" s="5">
        <v>81.7</v>
      </c>
      <c r="N16" s="4" t="s">
        <v>41</v>
      </c>
    </row>
    <row r="17" spans="1:14" ht="43.2" x14ac:dyDescent="0.3">
      <c r="A17" s="4">
        <v>2015</v>
      </c>
      <c r="B17" s="5">
        <v>225.82</v>
      </c>
      <c r="C17" s="5">
        <v>3</v>
      </c>
      <c r="D17" s="5">
        <f t="shared" si="0"/>
        <v>228.82</v>
      </c>
      <c r="E17" s="6"/>
      <c r="F17" s="6"/>
      <c r="G17" s="6"/>
      <c r="H17" s="7" t="str">
        <f t="shared" si="1"/>
        <v/>
      </c>
      <c r="I17" s="7" t="str">
        <f t="shared" si="2"/>
        <v/>
      </c>
      <c r="J17" s="5">
        <v>636.9</v>
      </c>
      <c r="K17" s="5">
        <v>0</v>
      </c>
      <c r="L17" s="5">
        <v>17.5</v>
      </c>
      <c r="M17" s="5">
        <v>432.3</v>
      </c>
      <c r="N17" s="4" t="s">
        <v>41</v>
      </c>
    </row>
    <row r="18" spans="1:14" ht="43.2" x14ac:dyDescent="0.3">
      <c r="A18" s="4">
        <v>2016</v>
      </c>
      <c r="B18" s="5">
        <v>274.55</v>
      </c>
      <c r="C18" s="5">
        <v>1.55</v>
      </c>
      <c r="D18" s="5">
        <f t="shared" si="0"/>
        <v>276.10000000000002</v>
      </c>
      <c r="E18" s="6">
        <v>1234248</v>
      </c>
      <c r="F18" s="6">
        <v>52368</v>
      </c>
      <c r="G18" s="6">
        <v>359514</v>
      </c>
      <c r="H18" s="7">
        <f t="shared" si="1"/>
        <v>4.2429074221712337</v>
      </c>
      <c r="I18" s="7">
        <f t="shared" si="2"/>
        <v>29.128181694440663</v>
      </c>
      <c r="J18" s="5">
        <v>253.2</v>
      </c>
      <c r="K18" s="5">
        <v>3.7</v>
      </c>
      <c r="L18" s="5">
        <v>24.5</v>
      </c>
      <c r="M18" s="5">
        <v>63.3</v>
      </c>
      <c r="N18" s="4" t="s">
        <v>41</v>
      </c>
    </row>
    <row r="19" spans="1:14" ht="43.2" x14ac:dyDescent="0.3">
      <c r="A19" s="4">
        <v>2017</v>
      </c>
      <c r="B19" s="5">
        <v>282.04000000000002</v>
      </c>
      <c r="C19" s="5">
        <v>4.12</v>
      </c>
      <c r="D19" s="5">
        <f t="shared" si="0"/>
        <v>286.16000000000003</v>
      </c>
      <c r="E19" s="6">
        <v>1286135</v>
      </c>
      <c r="F19" s="6">
        <v>66955</v>
      </c>
      <c r="G19" s="6">
        <v>324326</v>
      </c>
      <c r="H19" s="7">
        <f t="shared" si="1"/>
        <v>5.2059076224502094</v>
      </c>
      <c r="I19" s="7">
        <f t="shared" si="2"/>
        <v>25.217103958760163</v>
      </c>
      <c r="J19" s="5">
        <v>365.5</v>
      </c>
      <c r="K19" s="5"/>
      <c r="L19" s="5">
        <v>2.6</v>
      </c>
      <c r="M19" s="5">
        <v>155.9</v>
      </c>
      <c r="N19" s="4" t="s">
        <v>41</v>
      </c>
    </row>
    <row r="20" spans="1:14" ht="43.2" x14ac:dyDescent="0.3">
      <c r="A20" s="4">
        <v>2018</v>
      </c>
      <c r="B20" s="5">
        <v>286.13</v>
      </c>
      <c r="C20" s="5">
        <v>3.01</v>
      </c>
      <c r="D20" s="5">
        <f t="shared" si="0"/>
        <v>289.14</v>
      </c>
      <c r="E20" s="6">
        <v>1389542</v>
      </c>
      <c r="F20" s="6">
        <v>83019</v>
      </c>
      <c r="G20" s="6">
        <v>306530</v>
      </c>
      <c r="H20" s="7">
        <f t="shared" si="1"/>
        <v>5.9745585235998631</v>
      </c>
      <c r="I20" s="7">
        <f t="shared" si="2"/>
        <v>22.059786605946417</v>
      </c>
      <c r="J20" s="5">
        <v>833.6</v>
      </c>
      <c r="K20" s="5">
        <v>383.8</v>
      </c>
      <c r="L20" s="5"/>
      <c r="M20" s="5">
        <v>615</v>
      </c>
      <c r="N20" s="4" t="s">
        <v>41</v>
      </c>
    </row>
    <row r="21" spans="1:14" ht="43.2" x14ac:dyDescent="0.3">
      <c r="A21" s="4">
        <v>2019</v>
      </c>
      <c r="B21" s="5">
        <v>290.27</v>
      </c>
      <c r="C21" s="5">
        <v>3.42</v>
      </c>
      <c r="D21" s="5">
        <f t="shared" si="0"/>
        <v>293.69</v>
      </c>
      <c r="E21" s="6">
        <v>1484274</v>
      </c>
      <c r="F21" s="6">
        <v>90474</v>
      </c>
      <c r="G21" s="6">
        <v>283116</v>
      </c>
      <c r="H21" s="7">
        <f t="shared" si="1"/>
        <v>6.0955052773275016</v>
      </c>
      <c r="I21" s="7">
        <f t="shared" si="2"/>
        <v>19.074375755419819</v>
      </c>
      <c r="J21" s="5">
        <v>1223</v>
      </c>
      <c r="K21" s="5">
        <v>876.4</v>
      </c>
      <c r="L21" s="5">
        <v>6.2</v>
      </c>
      <c r="M21" s="5">
        <v>945.5</v>
      </c>
      <c r="N21" s="4" t="s">
        <v>41</v>
      </c>
    </row>
    <row r="22" spans="1:14" ht="43.2" x14ac:dyDescent="0.3">
      <c r="A22" s="4">
        <v>2020</v>
      </c>
      <c r="B22" s="5">
        <v>241.9</v>
      </c>
      <c r="C22" s="5">
        <v>3.33</v>
      </c>
      <c r="D22" s="5">
        <f t="shared" si="0"/>
        <v>245.23000000000002</v>
      </c>
      <c r="E22" s="6">
        <v>1702887</v>
      </c>
      <c r="F22" s="6">
        <v>166030</v>
      </c>
      <c r="G22" s="6">
        <v>284029</v>
      </c>
      <c r="H22" s="7">
        <f t="shared" si="1"/>
        <v>9.7499129419626787</v>
      </c>
      <c r="I22" s="7">
        <f t="shared" si="2"/>
        <v>16.679262922319566</v>
      </c>
      <c r="J22" s="5">
        <v>972.5</v>
      </c>
      <c r="K22" s="5">
        <v>22</v>
      </c>
      <c r="L22" s="5"/>
      <c r="M22" s="5">
        <v>222.3</v>
      </c>
      <c r="N22" s="4" t="s">
        <v>41</v>
      </c>
    </row>
    <row r="23" spans="1:14" ht="43.2" x14ac:dyDescent="0.3">
      <c r="A23" s="4">
        <v>2021</v>
      </c>
      <c r="B23" s="5">
        <v>317.35000000000002</v>
      </c>
      <c r="C23" s="5">
        <v>5.94</v>
      </c>
      <c r="D23" s="5">
        <f t="shared" si="0"/>
        <v>323.29000000000002</v>
      </c>
      <c r="E23" s="6">
        <v>555494</v>
      </c>
      <c r="F23" s="6">
        <v>62960</v>
      </c>
      <c r="G23" s="6">
        <v>34245</v>
      </c>
      <c r="H23" s="7">
        <f t="shared" si="1"/>
        <v>11.334055813384122</v>
      </c>
      <c r="I23" s="7">
        <f t="shared" si="2"/>
        <v>6.164783057962822</v>
      </c>
      <c r="J23" s="5">
        <v>945.4</v>
      </c>
      <c r="K23" s="5">
        <v>287.3</v>
      </c>
      <c r="L23" s="5">
        <v>0</v>
      </c>
      <c r="M23" s="5">
        <v>388.2</v>
      </c>
      <c r="N23" s="4" t="s">
        <v>41</v>
      </c>
    </row>
    <row r="24" spans="1:14" ht="43.2" x14ac:dyDescent="0.3">
      <c r="A24" s="4">
        <v>2022</v>
      </c>
      <c r="B24" s="5">
        <v>495.4</v>
      </c>
      <c r="C24" s="5">
        <v>6.42</v>
      </c>
      <c r="D24" s="5">
        <f t="shared" si="0"/>
        <v>501.82</v>
      </c>
      <c r="E24" s="6">
        <v>1321937</v>
      </c>
      <c r="F24" s="6">
        <v>291787</v>
      </c>
      <c r="G24" s="6">
        <v>2238</v>
      </c>
      <c r="H24" s="7">
        <f t="shared" si="1"/>
        <v>22.072685763391146</v>
      </c>
      <c r="I24" s="7">
        <f t="shared" si="2"/>
        <v>0.16929702398828386</v>
      </c>
      <c r="J24" s="5">
        <v>476.1</v>
      </c>
      <c r="K24" s="5">
        <v>36.1</v>
      </c>
      <c r="L24" s="5"/>
      <c r="M24" s="5">
        <v>78.7</v>
      </c>
      <c r="N24" s="4" t="s">
        <v>41</v>
      </c>
    </row>
    <row r="25" spans="1:14" ht="43.2" x14ac:dyDescent="0.3">
      <c r="A25" s="4">
        <v>2023</v>
      </c>
      <c r="B25" s="5">
        <v>543.83000000000004</v>
      </c>
      <c r="C25" s="5">
        <v>5.14</v>
      </c>
      <c r="D25" s="5">
        <f t="shared" si="0"/>
        <v>548.97</v>
      </c>
      <c r="E25" s="6">
        <v>1675303</v>
      </c>
      <c r="F25" s="6">
        <v>241382</v>
      </c>
      <c r="G25" s="6"/>
      <c r="H25" s="7">
        <f t="shared" si="1"/>
        <v>14.40825928205226</v>
      </c>
      <c r="I25" s="7" t="str">
        <f t="shared" si="2"/>
        <v/>
      </c>
      <c r="J25" s="5">
        <v>513.79999999999995</v>
      </c>
      <c r="K25" s="5">
        <v>67.099999999999994</v>
      </c>
      <c r="L25" s="5">
        <v>0</v>
      </c>
      <c r="M25" s="5">
        <v>77.099999999999994</v>
      </c>
      <c r="N25" s="4" t="s">
        <v>41</v>
      </c>
    </row>
    <row r="26" spans="1:14" ht="43.2" x14ac:dyDescent="0.3">
      <c r="A26" s="4">
        <v>2024</v>
      </c>
      <c r="B26" s="5">
        <v>513.6</v>
      </c>
      <c r="C26" s="5">
        <v>4.18</v>
      </c>
      <c r="D26" s="5">
        <f t="shared" si="0"/>
        <v>517.78</v>
      </c>
      <c r="E26" s="6">
        <v>1878543</v>
      </c>
      <c r="F26" s="6">
        <v>209193</v>
      </c>
      <c r="G26" s="6"/>
      <c r="H26" s="7">
        <f t="shared" si="1"/>
        <v>11.135917570159428</v>
      </c>
      <c r="I26" s="7" t="str">
        <f t="shared" si="2"/>
        <v/>
      </c>
      <c r="J26" s="5">
        <v>427.7</v>
      </c>
      <c r="K26" s="5">
        <v>20</v>
      </c>
      <c r="L26" s="5">
        <v>0.4</v>
      </c>
      <c r="M26" s="5">
        <v>35.6</v>
      </c>
      <c r="N26" s="4" t="s">
        <v>41</v>
      </c>
    </row>
  </sheetData>
  <autoFilter ref="A1:N26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6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1" customWidth="1"/>
    <col min="2" max="2" width="34" customWidth="1"/>
    <col min="3" max="3" width="30" customWidth="1"/>
    <col min="4" max="4" width="28" customWidth="1"/>
    <col min="5" max="5" width="34" customWidth="1"/>
    <col min="6" max="6" width="42" customWidth="1"/>
    <col min="7" max="7" width="60" customWidth="1"/>
  </cols>
  <sheetData>
    <row r="1" spans="1:7" x14ac:dyDescent="0.3">
      <c r="A1" s="10" t="s">
        <v>42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1:7" ht="28.8" x14ac:dyDescent="0.3">
      <c r="A3" s="4" t="s">
        <v>50</v>
      </c>
      <c r="B3" s="4" t="s">
        <v>51</v>
      </c>
      <c r="C3" s="4" t="s">
        <v>3</v>
      </c>
      <c r="D3" s="4" t="s">
        <v>52</v>
      </c>
      <c r="E3" s="4" t="s">
        <v>53</v>
      </c>
      <c r="F3" s="4" t="s">
        <v>54</v>
      </c>
      <c r="G3" s="4" t="s">
        <v>55</v>
      </c>
    </row>
    <row r="4" spans="1:7" ht="28.8" x14ac:dyDescent="0.3">
      <c r="A4" s="4" t="s">
        <v>56</v>
      </c>
      <c r="B4" s="4" t="s">
        <v>57</v>
      </c>
      <c r="C4" s="4" t="s">
        <v>3</v>
      </c>
      <c r="D4" s="4" t="s">
        <v>58</v>
      </c>
      <c r="E4" s="4" t="s">
        <v>59</v>
      </c>
      <c r="F4" s="4" t="s">
        <v>60</v>
      </c>
      <c r="G4" s="4" t="s">
        <v>61</v>
      </c>
    </row>
    <row r="5" spans="1:7" ht="28.8" x14ac:dyDescent="0.3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</row>
    <row r="6" spans="1:7" ht="28.8" x14ac:dyDescent="0.3">
      <c r="A6" s="4" t="s">
        <v>69</v>
      </c>
      <c r="B6" s="4" t="s">
        <v>70</v>
      </c>
      <c r="C6" s="4" t="s">
        <v>7</v>
      </c>
      <c r="D6" s="4" t="s">
        <v>71</v>
      </c>
      <c r="E6" s="4" t="s">
        <v>72</v>
      </c>
      <c r="F6" s="4" t="s">
        <v>73</v>
      </c>
      <c r="G6" s="4" t="s">
        <v>74</v>
      </c>
    </row>
  </sheetData>
  <autoFilter ref="A2:G6" xr:uid="{00000000-0009-0000-0000-000003000000}"/>
  <mergeCells count="1">
    <mergeCell ref="A1:G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6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1" customWidth="1"/>
    <col min="2" max="2" width="34" customWidth="1"/>
    <col min="3" max="3" width="30" customWidth="1"/>
    <col min="4" max="4" width="28" customWidth="1"/>
    <col min="5" max="5" width="34" customWidth="1"/>
    <col min="6" max="6" width="42" customWidth="1"/>
    <col min="7" max="7" width="60" customWidth="1"/>
  </cols>
  <sheetData>
    <row r="1" spans="1:7" x14ac:dyDescent="0.3">
      <c r="A1" s="10" t="s">
        <v>75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1:7" x14ac:dyDescent="0.3">
      <c r="A3" s="4" t="s">
        <v>76</v>
      </c>
      <c r="B3" s="4" t="s">
        <v>77</v>
      </c>
      <c r="C3" s="4" t="s">
        <v>3</v>
      </c>
      <c r="D3" s="4" t="s">
        <v>78</v>
      </c>
      <c r="E3" s="4" t="s">
        <v>79</v>
      </c>
      <c r="F3" s="4" t="s">
        <v>80</v>
      </c>
      <c r="G3" s="4" t="s">
        <v>81</v>
      </c>
    </row>
    <row r="4" spans="1:7" x14ac:dyDescent="0.3">
      <c r="A4" s="4" t="s">
        <v>82</v>
      </c>
      <c r="B4" s="4" t="s">
        <v>77</v>
      </c>
      <c r="C4" s="4" t="s">
        <v>3</v>
      </c>
      <c r="D4" s="4" t="s">
        <v>78</v>
      </c>
      <c r="E4" s="4" t="s">
        <v>79</v>
      </c>
      <c r="F4" s="4" t="s">
        <v>80</v>
      </c>
      <c r="G4" s="4" t="s">
        <v>83</v>
      </c>
    </row>
    <row r="5" spans="1:7" ht="28.8" x14ac:dyDescent="0.3">
      <c r="A5" s="4" t="s">
        <v>84</v>
      </c>
      <c r="B5" s="4" t="s">
        <v>85</v>
      </c>
      <c r="C5" s="4" t="s">
        <v>13</v>
      </c>
      <c r="D5" s="4" t="s">
        <v>86</v>
      </c>
      <c r="E5" s="4" t="s">
        <v>87</v>
      </c>
      <c r="F5" s="4" t="s">
        <v>88</v>
      </c>
      <c r="G5" s="4" t="s">
        <v>89</v>
      </c>
    </row>
    <row r="6" spans="1:7" x14ac:dyDescent="0.3">
      <c r="A6" s="4" t="s">
        <v>90</v>
      </c>
      <c r="B6" s="4" t="s">
        <v>91</v>
      </c>
      <c r="C6" s="4" t="s">
        <v>9</v>
      </c>
      <c r="D6" s="4" t="s">
        <v>92</v>
      </c>
      <c r="E6" s="4" t="s">
        <v>93</v>
      </c>
      <c r="F6" s="4" t="s">
        <v>94</v>
      </c>
      <c r="G6" s="4" t="s">
        <v>95</v>
      </c>
    </row>
  </sheetData>
  <autoFilter ref="A2:G6" xr:uid="{00000000-0009-0000-0000-000004000000}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5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1" customWidth="1"/>
    <col min="2" max="2" width="34" customWidth="1"/>
    <col min="3" max="3" width="30" customWidth="1"/>
    <col min="4" max="4" width="28" customWidth="1"/>
    <col min="5" max="5" width="34" customWidth="1"/>
    <col min="6" max="6" width="42" customWidth="1"/>
    <col min="7" max="7" width="60" customWidth="1"/>
  </cols>
  <sheetData>
    <row r="1" spans="1:7" x14ac:dyDescent="0.3">
      <c r="A1" s="10" t="s">
        <v>96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1:7" ht="28.8" x14ac:dyDescent="0.3">
      <c r="A3" s="4" t="s">
        <v>97</v>
      </c>
      <c r="B3" s="4" t="s">
        <v>98</v>
      </c>
      <c r="C3" s="4" t="s">
        <v>7</v>
      </c>
      <c r="D3" s="4" t="s">
        <v>71</v>
      </c>
      <c r="E3" s="4" t="s">
        <v>99</v>
      </c>
      <c r="F3" s="4" t="s">
        <v>100</v>
      </c>
      <c r="G3" s="4" t="s">
        <v>101</v>
      </c>
    </row>
    <row r="4" spans="1:7" ht="28.8" x14ac:dyDescent="0.3">
      <c r="A4" s="4" t="s">
        <v>102</v>
      </c>
      <c r="B4" s="4" t="s">
        <v>103</v>
      </c>
      <c r="C4" s="4" t="s">
        <v>7</v>
      </c>
      <c r="D4" s="4" t="s">
        <v>71</v>
      </c>
      <c r="E4" s="4" t="s">
        <v>104</v>
      </c>
      <c r="F4" s="4" t="s">
        <v>105</v>
      </c>
      <c r="G4" s="4" t="s">
        <v>106</v>
      </c>
    </row>
    <row r="5" spans="1:7" ht="28.8" x14ac:dyDescent="0.3">
      <c r="A5" s="4" t="s">
        <v>107</v>
      </c>
      <c r="B5" s="4" t="s">
        <v>108</v>
      </c>
      <c r="C5" s="4" t="s">
        <v>11</v>
      </c>
      <c r="D5" s="4" t="s">
        <v>109</v>
      </c>
      <c r="E5" s="4" t="s">
        <v>110</v>
      </c>
      <c r="F5" s="4" t="s">
        <v>111</v>
      </c>
      <c r="G5" s="4" t="s">
        <v>112</v>
      </c>
    </row>
  </sheetData>
  <autoFilter ref="A2:G5" xr:uid="{00000000-0009-0000-0000-000005000000}"/>
  <mergeCells count="1">
    <mergeCell ref="A1:G1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6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1" customWidth="1"/>
    <col min="2" max="2" width="34" customWidth="1"/>
    <col min="3" max="3" width="30" customWidth="1"/>
    <col min="4" max="4" width="28" customWidth="1"/>
    <col min="5" max="5" width="34" customWidth="1"/>
    <col min="6" max="6" width="42" customWidth="1"/>
    <col min="7" max="7" width="60" customWidth="1"/>
  </cols>
  <sheetData>
    <row r="1" spans="1:7" x14ac:dyDescent="0.3">
      <c r="A1" s="10" t="s">
        <v>113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1:7" x14ac:dyDescent="0.3">
      <c r="A3" s="4" t="s">
        <v>114</v>
      </c>
      <c r="B3" s="4" t="s">
        <v>115</v>
      </c>
      <c r="C3" s="4" t="s">
        <v>3</v>
      </c>
      <c r="D3" s="4" t="s">
        <v>52</v>
      </c>
      <c r="E3" s="4" t="s">
        <v>116</v>
      </c>
      <c r="F3" s="4" t="s">
        <v>117</v>
      </c>
      <c r="G3" s="4" t="s">
        <v>118</v>
      </c>
    </row>
    <row r="4" spans="1:7" ht="28.8" x14ac:dyDescent="0.3">
      <c r="A4" s="4" t="s">
        <v>119</v>
      </c>
      <c r="B4" s="4" t="s">
        <v>120</v>
      </c>
      <c r="C4" s="4" t="s">
        <v>3</v>
      </c>
      <c r="D4" s="4" t="s">
        <v>121</v>
      </c>
      <c r="E4" s="4" t="s">
        <v>122</v>
      </c>
      <c r="F4" s="4" t="s">
        <v>123</v>
      </c>
      <c r="G4" s="4" t="s">
        <v>124</v>
      </c>
    </row>
    <row r="5" spans="1:7" ht="28.8" x14ac:dyDescent="0.3">
      <c r="A5" s="4" t="s">
        <v>125</v>
      </c>
      <c r="B5" s="4" t="s">
        <v>126</v>
      </c>
      <c r="C5" s="4" t="s">
        <v>127</v>
      </c>
      <c r="D5" s="4" t="s">
        <v>128</v>
      </c>
      <c r="E5" s="4" t="s">
        <v>129</v>
      </c>
      <c r="F5" s="4" t="s">
        <v>130</v>
      </c>
      <c r="G5" s="4" t="s">
        <v>131</v>
      </c>
    </row>
    <row r="6" spans="1:7" ht="28.8" x14ac:dyDescent="0.3">
      <c r="A6" s="4" t="s">
        <v>132</v>
      </c>
      <c r="B6" s="4" t="s">
        <v>133</v>
      </c>
      <c r="C6" s="4" t="s">
        <v>134</v>
      </c>
      <c r="D6" s="4" t="s">
        <v>135</v>
      </c>
      <c r="E6" s="4" t="s">
        <v>136</v>
      </c>
      <c r="F6" s="4" t="s">
        <v>137</v>
      </c>
      <c r="G6" s="4" t="s">
        <v>138</v>
      </c>
    </row>
  </sheetData>
  <autoFilter ref="A2:G6" xr:uid="{00000000-0009-0000-0000-000006000000}"/>
  <mergeCells count="1">
    <mergeCell ref="A1:G1"/>
  </mergeCell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6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1" customWidth="1"/>
    <col min="2" max="2" width="34" customWidth="1"/>
    <col min="3" max="3" width="30" customWidth="1"/>
    <col min="4" max="4" width="28" customWidth="1"/>
    <col min="5" max="5" width="34" customWidth="1"/>
    <col min="6" max="6" width="42" customWidth="1"/>
    <col min="7" max="7" width="60" customWidth="1"/>
  </cols>
  <sheetData>
    <row r="1" spans="1:7" x14ac:dyDescent="0.3">
      <c r="A1" s="10" t="s">
        <v>139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1:7" x14ac:dyDescent="0.3">
      <c r="A3" s="4" t="s">
        <v>76</v>
      </c>
      <c r="B3" s="4" t="s">
        <v>140</v>
      </c>
      <c r="C3" s="4" t="s">
        <v>3</v>
      </c>
      <c r="D3" s="4" t="s">
        <v>78</v>
      </c>
      <c r="E3" s="4" t="s">
        <v>141</v>
      </c>
      <c r="F3" s="4" t="s">
        <v>142</v>
      </c>
      <c r="G3" s="4" t="s">
        <v>143</v>
      </c>
    </row>
    <row r="4" spans="1:7" ht="28.8" x14ac:dyDescent="0.3">
      <c r="A4" s="4" t="s">
        <v>144</v>
      </c>
      <c r="B4" s="4" t="s">
        <v>145</v>
      </c>
      <c r="C4" s="4" t="s">
        <v>11</v>
      </c>
      <c r="D4" s="4" t="s">
        <v>146</v>
      </c>
      <c r="E4" s="4" t="s">
        <v>147</v>
      </c>
      <c r="F4" s="4" t="s">
        <v>111</v>
      </c>
      <c r="G4" s="4" t="s">
        <v>148</v>
      </c>
    </row>
    <row r="5" spans="1:7" x14ac:dyDescent="0.3">
      <c r="A5" s="4" t="s">
        <v>149</v>
      </c>
      <c r="B5" s="4" t="s">
        <v>51</v>
      </c>
      <c r="C5" s="4" t="s">
        <v>3</v>
      </c>
      <c r="D5" s="4" t="s">
        <v>52</v>
      </c>
      <c r="E5" s="4" t="s">
        <v>150</v>
      </c>
      <c r="F5" s="4" t="s">
        <v>151</v>
      </c>
      <c r="G5" s="4" t="s">
        <v>152</v>
      </c>
    </row>
    <row r="6" spans="1:7" ht="28.8" x14ac:dyDescent="0.3">
      <c r="A6" s="4" t="s">
        <v>153</v>
      </c>
      <c r="B6" s="4" t="s">
        <v>154</v>
      </c>
      <c r="C6" s="4" t="s">
        <v>3</v>
      </c>
      <c r="D6" s="4" t="s">
        <v>121</v>
      </c>
      <c r="E6" s="4" t="s">
        <v>155</v>
      </c>
      <c r="F6" s="4" t="s">
        <v>156</v>
      </c>
      <c r="G6" s="4" t="s">
        <v>157</v>
      </c>
    </row>
  </sheetData>
  <autoFilter ref="A2:G6" xr:uid="{00000000-0009-0000-0000-000007000000}"/>
  <mergeCells count="1">
    <mergeCell ref="A1:G1"/>
  </mergeCell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6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31" customWidth="1"/>
    <col min="2" max="2" width="34" customWidth="1"/>
    <col min="3" max="3" width="30" customWidth="1"/>
    <col min="4" max="4" width="28" customWidth="1"/>
    <col min="5" max="5" width="34" customWidth="1"/>
    <col min="6" max="6" width="42" customWidth="1"/>
    <col min="7" max="7" width="60" customWidth="1"/>
  </cols>
  <sheetData>
    <row r="1" spans="1:7" x14ac:dyDescent="0.3">
      <c r="A1" s="10" t="s">
        <v>158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</row>
    <row r="3" spans="1:7" ht="28.8" x14ac:dyDescent="0.3">
      <c r="A3" s="4" t="s">
        <v>159</v>
      </c>
      <c r="B3" s="4" t="s">
        <v>160</v>
      </c>
      <c r="C3" s="4" t="s">
        <v>9</v>
      </c>
      <c r="D3" s="4" t="s">
        <v>161</v>
      </c>
      <c r="E3" s="4" t="s">
        <v>162</v>
      </c>
      <c r="F3" s="4" t="s">
        <v>94</v>
      </c>
      <c r="G3" s="4" t="s">
        <v>163</v>
      </c>
    </row>
    <row r="4" spans="1:7" ht="28.8" x14ac:dyDescent="0.3">
      <c r="A4" s="4" t="s">
        <v>164</v>
      </c>
      <c r="B4" s="4" t="s">
        <v>165</v>
      </c>
      <c r="C4" s="4" t="s">
        <v>166</v>
      </c>
      <c r="D4" s="4" t="s">
        <v>71</v>
      </c>
      <c r="E4" s="4" t="s">
        <v>167</v>
      </c>
      <c r="F4" s="4" t="s">
        <v>168</v>
      </c>
      <c r="G4" s="4" t="s">
        <v>169</v>
      </c>
    </row>
    <row r="5" spans="1:7" x14ac:dyDescent="0.3">
      <c r="A5" s="4" t="s">
        <v>82</v>
      </c>
      <c r="B5" s="4" t="s">
        <v>140</v>
      </c>
      <c r="C5" s="4" t="s">
        <v>3</v>
      </c>
      <c r="D5" s="4" t="s">
        <v>78</v>
      </c>
      <c r="E5" s="4" t="s">
        <v>170</v>
      </c>
      <c r="F5" s="4" t="s">
        <v>142</v>
      </c>
      <c r="G5" s="4" t="s">
        <v>171</v>
      </c>
    </row>
    <row r="6" spans="1:7" ht="28.8" x14ac:dyDescent="0.3">
      <c r="A6" s="4" t="s">
        <v>172</v>
      </c>
      <c r="B6" s="4" t="s">
        <v>173</v>
      </c>
      <c r="C6" s="4" t="s">
        <v>13</v>
      </c>
      <c r="D6" s="4" t="s">
        <v>174</v>
      </c>
      <c r="E6" s="4" t="s">
        <v>175</v>
      </c>
      <c r="F6" s="4" t="s">
        <v>176</v>
      </c>
      <c r="G6" s="4" t="s">
        <v>177</v>
      </c>
    </row>
  </sheetData>
  <autoFilter ref="A2:G6" xr:uid="{00000000-0009-0000-0000-000008000000}"/>
  <mergeCells count="1">
    <mergeCell ref="A1:G1"/>
  </mergeCells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6"/>
  <sheetViews>
    <sheetView workbookViewId="0">
      <pane ySplit="2" topLeftCell="A3" activePane="bottomLeft" state="frozen"/>
      <selection pane="bottomLeft" activeCell="D17" sqref="D17"/>
    </sheetView>
  </sheetViews>
  <sheetFormatPr defaultRowHeight="14.4" x14ac:dyDescent="0.3"/>
  <cols>
    <col min="1" max="1" width="20" customWidth="1"/>
    <col min="2" max="2" width="30" customWidth="1"/>
    <col min="3" max="3" width="22" customWidth="1"/>
    <col min="4" max="4" width="65" customWidth="1"/>
    <col min="5" max="5" width="28" customWidth="1"/>
    <col min="6" max="6" width="42" customWidth="1"/>
    <col min="7" max="7" width="55" customWidth="1"/>
  </cols>
  <sheetData>
    <row r="1" spans="1:7" x14ac:dyDescent="0.3">
      <c r="A1" s="10" t="s">
        <v>178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179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</row>
    <row r="3" spans="1:7" x14ac:dyDescent="0.3">
      <c r="A3" s="4" t="s">
        <v>186</v>
      </c>
      <c r="B3" s="4" t="s">
        <v>187</v>
      </c>
      <c r="C3" s="4" t="s">
        <v>188</v>
      </c>
      <c r="D3" s="4" t="s">
        <v>189</v>
      </c>
      <c r="E3" s="4" t="s">
        <v>190</v>
      </c>
      <c r="F3" s="4" t="s">
        <v>191</v>
      </c>
      <c r="G3" s="4" t="s">
        <v>192</v>
      </c>
    </row>
    <row r="4" spans="1:7" ht="28.8" x14ac:dyDescent="0.3">
      <c r="A4" s="4" t="s">
        <v>193</v>
      </c>
      <c r="B4" s="4" t="s">
        <v>194</v>
      </c>
      <c r="C4" s="4" t="s">
        <v>188</v>
      </c>
      <c r="D4" s="4" t="s">
        <v>195</v>
      </c>
      <c r="E4" s="4" t="s">
        <v>196</v>
      </c>
      <c r="F4" s="4" t="s">
        <v>191</v>
      </c>
      <c r="G4" s="4" t="s">
        <v>106</v>
      </c>
    </row>
    <row r="5" spans="1:7" ht="28.8" x14ac:dyDescent="0.3">
      <c r="A5" s="4" t="s">
        <v>197</v>
      </c>
      <c r="B5" s="4" t="s">
        <v>198</v>
      </c>
      <c r="C5" s="4" t="s">
        <v>188</v>
      </c>
      <c r="D5" s="4" t="s">
        <v>199</v>
      </c>
      <c r="E5" s="4" t="s">
        <v>200</v>
      </c>
      <c r="F5" s="4" t="s">
        <v>201</v>
      </c>
      <c r="G5" s="4" t="s">
        <v>202</v>
      </c>
    </row>
    <row r="6" spans="1:7" x14ac:dyDescent="0.3">
      <c r="A6" s="4" t="s">
        <v>203</v>
      </c>
      <c r="B6" s="4" t="s">
        <v>198</v>
      </c>
      <c r="C6" s="4" t="s">
        <v>188</v>
      </c>
      <c r="D6" s="4" t="s">
        <v>204</v>
      </c>
      <c r="E6" s="4" t="s">
        <v>200</v>
      </c>
      <c r="F6" s="4" t="s">
        <v>191</v>
      </c>
      <c r="G6" s="4" t="s">
        <v>205</v>
      </c>
    </row>
  </sheetData>
  <autoFilter ref="A2:G6" xr:uid="{00000000-0009-0000-0000-000009000000}"/>
  <mergeCells count="1">
    <mergeCell ref="A1:G1"/>
  </mergeCells>
  <pageMargins left="0.75" right="0.75" top="1" bottom="1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5"/>
  <sheetViews>
    <sheetView workbookViewId="0">
      <pane ySplit="2" topLeftCell="A3" activePane="bottomLeft" state="frozen"/>
      <selection pane="bottomLeft" activeCell="C22" sqref="C22"/>
    </sheetView>
  </sheetViews>
  <sheetFormatPr defaultRowHeight="14.4" x14ac:dyDescent="0.3"/>
  <cols>
    <col min="1" max="1" width="12" customWidth="1"/>
    <col min="2" max="2" width="22" customWidth="1"/>
    <col min="3" max="3" width="15" customWidth="1"/>
    <col min="4" max="4" width="20" customWidth="1"/>
    <col min="5" max="5" width="54" customWidth="1"/>
    <col min="6" max="6" width="40" customWidth="1"/>
    <col min="7" max="7" width="56" customWidth="1"/>
  </cols>
  <sheetData>
    <row r="1" spans="1:7" x14ac:dyDescent="0.3">
      <c r="A1" s="10" t="s">
        <v>206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27</v>
      </c>
      <c r="B2" s="3" t="s">
        <v>207</v>
      </c>
      <c r="C2" s="3" t="s">
        <v>208</v>
      </c>
      <c r="D2" s="3" t="s">
        <v>209</v>
      </c>
      <c r="E2" s="3" t="s">
        <v>210</v>
      </c>
      <c r="F2" s="3" t="s">
        <v>211</v>
      </c>
      <c r="G2" s="3" t="s">
        <v>212</v>
      </c>
    </row>
    <row r="3" spans="1:7" ht="28.8" x14ac:dyDescent="0.3">
      <c r="A3" s="4" t="s">
        <v>213</v>
      </c>
      <c r="B3" s="4" t="s">
        <v>214</v>
      </c>
      <c r="C3" s="4" t="s">
        <v>215</v>
      </c>
      <c r="D3" s="4" t="s">
        <v>216</v>
      </c>
      <c r="E3" s="4" t="s">
        <v>217</v>
      </c>
      <c r="F3" s="4" t="s">
        <v>218</v>
      </c>
      <c r="G3" s="4" t="s">
        <v>219</v>
      </c>
    </row>
    <row r="4" spans="1:7" x14ac:dyDescent="0.3">
      <c r="A4" s="4" t="s">
        <v>220</v>
      </c>
      <c r="B4" s="4" t="s">
        <v>214</v>
      </c>
      <c r="C4" s="4" t="s">
        <v>221</v>
      </c>
      <c r="D4" s="4" t="s">
        <v>222</v>
      </c>
      <c r="E4" s="4" t="s">
        <v>223</v>
      </c>
      <c r="F4" s="4" t="s">
        <v>224</v>
      </c>
      <c r="G4" s="4" t="s">
        <v>225</v>
      </c>
    </row>
    <row r="5" spans="1:7" x14ac:dyDescent="0.3">
      <c r="A5" s="4" t="s">
        <v>226</v>
      </c>
      <c r="B5" s="4" t="s">
        <v>214</v>
      </c>
      <c r="C5" s="4" t="s">
        <v>227</v>
      </c>
      <c r="D5" s="4" t="s">
        <v>228</v>
      </c>
      <c r="E5" s="4" t="s">
        <v>229</v>
      </c>
      <c r="F5" s="4" t="s">
        <v>224</v>
      </c>
      <c r="G5" s="4" t="s">
        <v>230</v>
      </c>
    </row>
    <row r="6" spans="1:7" x14ac:dyDescent="0.3">
      <c r="A6" s="4" t="s">
        <v>231</v>
      </c>
      <c r="B6" s="4" t="s">
        <v>214</v>
      </c>
      <c r="C6" s="4" t="s">
        <v>232</v>
      </c>
      <c r="D6" s="4" t="s">
        <v>233</v>
      </c>
      <c r="E6" s="4" t="s">
        <v>234</v>
      </c>
      <c r="F6" s="4" t="s">
        <v>224</v>
      </c>
      <c r="G6" s="4" t="s">
        <v>230</v>
      </c>
    </row>
    <row r="7" spans="1:7" x14ac:dyDescent="0.3">
      <c r="A7" s="4" t="s">
        <v>235</v>
      </c>
      <c r="B7" s="4" t="s">
        <v>214</v>
      </c>
      <c r="C7" s="4" t="s">
        <v>236</v>
      </c>
      <c r="D7" s="4" t="s">
        <v>228</v>
      </c>
      <c r="E7" s="4" t="s">
        <v>237</v>
      </c>
      <c r="F7" s="4" t="s">
        <v>224</v>
      </c>
      <c r="G7" s="4" t="s">
        <v>238</v>
      </c>
    </row>
    <row r="8" spans="1:7" x14ac:dyDescent="0.3">
      <c r="A8" s="4" t="s">
        <v>239</v>
      </c>
      <c r="B8" s="4" t="s">
        <v>214</v>
      </c>
      <c r="C8" s="4" t="s">
        <v>240</v>
      </c>
      <c r="D8" s="4" t="s">
        <v>233</v>
      </c>
      <c r="E8" s="4" t="s">
        <v>241</v>
      </c>
      <c r="F8" s="4" t="s">
        <v>224</v>
      </c>
      <c r="G8" s="4" t="s">
        <v>242</v>
      </c>
    </row>
    <row r="9" spans="1:7" x14ac:dyDescent="0.3">
      <c r="A9" s="4" t="s">
        <v>243</v>
      </c>
      <c r="B9" s="4" t="s">
        <v>214</v>
      </c>
      <c r="C9" s="4" t="s">
        <v>244</v>
      </c>
      <c r="D9" s="4" t="s">
        <v>228</v>
      </c>
      <c r="E9" s="4" t="s">
        <v>245</v>
      </c>
      <c r="F9" s="4" t="s">
        <v>224</v>
      </c>
      <c r="G9" s="4" t="s">
        <v>230</v>
      </c>
    </row>
    <row r="10" spans="1:7" x14ac:dyDescent="0.3">
      <c r="A10" s="4" t="s">
        <v>246</v>
      </c>
      <c r="B10" s="4" t="s">
        <v>214</v>
      </c>
      <c r="C10" s="4" t="s">
        <v>247</v>
      </c>
      <c r="D10" s="4" t="s">
        <v>233</v>
      </c>
      <c r="E10" s="4" t="s">
        <v>248</v>
      </c>
      <c r="F10" s="4" t="s">
        <v>224</v>
      </c>
      <c r="G10" s="4" t="s">
        <v>230</v>
      </c>
    </row>
    <row r="11" spans="1:7" x14ac:dyDescent="0.3">
      <c r="A11" s="4" t="s">
        <v>249</v>
      </c>
      <c r="B11" s="4" t="s">
        <v>214</v>
      </c>
      <c r="C11" s="4" t="s">
        <v>250</v>
      </c>
      <c r="D11" s="4" t="s">
        <v>228</v>
      </c>
      <c r="E11" s="4" t="s">
        <v>251</v>
      </c>
      <c r="F11" s="4" t="s">
        <v>224</v>
      </c>
      <c r="G11" s="4" t="s">
        <v>252</v>
      </c>
    </row>
    <row r="12" spans="1:7" x14ac:dyDescent="0.3">
      <c r="A12" s="4" t="s">
        <v>253</v>
      </c>
      <c r="B12" s="4" t="s">
        <v>214</v>
      </c>
      <c r="C12" s="4" t="s">
        <v>254</v>
      </c>
      <c r="D12" s="4" t="s">
        <v>233</v>
      </c>
      <c r="E12" s="4" t="s">
        <v>255</v>
      </c>
      <c r="F12" s="4" t="s">
        <v>224</v>
      </c>
      <c r="G12" s="4" t="s">
        <v>230</v>
      </c>
    </row>
    <row r="13" spans="1:7" x14ac:dyDescent="0.3">
      <c r="A13" s="4" t="s">
        <v>256</v>
      </c>
      <c r="B13" s="4" t="s">
        <v>214</v>
      </c>
      <c r="C13" s="4" t="s">
        <v>257</v>
      </c>
      <c r="D13" s="4" t="s">
        <v>228</v>
      </c>
      <c r="E13" s="4" t="s">
        <v>258</v>
      </c>
      <c r="F13" s="4" t="s">
        <v>224</v>
      </c>
      <c r="G13" s="4" t="s">
        <v>259</v>
      </c>
    </row>
    <row r="14" spans="1:7" x14ac:dyDescent="0.3">
      <c r="A14" s="4" t="s">
        <v>260</v>
      </c>
      <c r="B14" s="4" t="s">
        <v>214</v>
      </c>
      <c r="C14" s="4" t="s">
        <v>261</v>
      </c>
      <c r="D14" s="4" t="s">
        <v>233</v>
      </c>
      <c r="E14" s="4" t="s">
        <v>262</v>
      </c>
      <c r="F14" s="4" t="s">
        <v>224</v>
      </c>
      <c r="G14" s="4" t="s">
        <v>230</v>
      </c>
    </row>
    <row r="15" spans="1:7" x14ac:dyDescent="0.3">
      <c r="A15" s="4" t="s">
        <v>263</v>
      </c>
      <c r="B15" s="4" t="s">
        <v>214</v>
      </c>
      <c r="C15" s="4" t="s">
        <v>264</v>
      </c>
      <c r="D15" s="4" t="s">
        <v>228</v>
      </c>
      <c r="E15" s="4" t="s">
        <v>265</v>
      </c>
      <c r="F15" s="4" t="s">
        <v>224</v>
      </c>
      <c r="G15" s="4" t="s">
        <v>266</v>
      </c>
    </row>
  </sheetData>
  <autoFilter ref="A2:G15" xr:uid="{00000000-0009-0000-0000-00000A000000}"/>
  <mergeCells count="1">
    <mergeCell ref="A1:G1"/>
  </mergeCells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7"/>
  <sheetViews>
    <sheetView workbookViewId="0">
      <pane ySplit="2" topLeftCell="A3" activePane="bottomLeft" state="frozen"/>
      <selection pane="bottomLeft" activeCell="A2" sqref="A2:XFD2"/>
    </sheetView>
  </sheetViews>
  <sheetFormatPr defaultRowHeight="14.4" x14ac:dyDescent="0.3"/>
  <cols>
    <col min="1" max="1" width="34" customWidth="1"/>
    <col min="2" max="2" width="26" customWidth="1"/>
    <col min="3" max="3" width="22" customWidth="1"/>
    <col min="4" max="4" width="36" customWidth="1"/>
    <col min="5" max="5" width="52" customWidth="1"/>
    <col min="6" max="6" width="42" customWidth="1"/>
    <col min="7" max="7" width="60" customWidth="1"/>
  </cols>
  <sheetData>
    <row r="1" spans="1:7" x14ac:dyDescent="0.3">
      <c r="A1" s="10" t="s">
        <v>267</v>
      </c>
      <c r="B1" s="9"/>
      <c r="C1" s="9"/>
      <c r="D1" s="9"/>
      <c r="E1" s="9"/>
      <c r="F1" s="9"/>
      <c r="G1" s="9"/>
    </row>
    <row r="2" spans="1:7" ht="42" customHeight="1" x14ac:dyDescent="0.3">
      <c r="A2" s="3" t="s">
        <v>268</v>
      </c>
      <c r="B2" s="3" t="s">
        <v>269</v>
      </c>
      <c r="C2" s="3" t="s">
        <v>270</v>
      </c>
      <c r="D2" s="3" t="s">
        <v>271</v>
      </c>
      <c r="E2" s="3" t="s">
        <v>272</v>
      </c>
      <c r="F2" s="3" t="s">
        <v>184</v>
      </c>
      <c r="G2" s="3" t="s">
        <v>273</v>
      </c>
    </row>
    <row r="3" spans="1:7" ht="28.8" x14ac:dyDescent="0.3">
      <c r="A3" s="4" t="s">
        <v>274</v>
      </c>
      <c r="B3" s="4" t="s">
        <v>275</v>
      </c>
      <c r="C3" s="4" t="s">
        <v>233</v>
      </c>
      <c r="D3" s="4" t="s">
        <v>276</v>
      </c>
      <c r="E3" s="4" t="s">
        <v>277</v>
      </c>
      <c r="F3" s="4" t="s">
        <v>278</v>
      </c>
      <c r="G3" s="4" t="s">
        <v>279</v>
      </c>
    </row>
    <row r="4" spans="1:7" ht="28.8" x14ac:dyDescent="0.3">
      <c r="A4" s="4" t="s">
        <v>280</v>
      </c>
      <c r="B4" s="4" t="s">
        <v>275</v>
      </c>
      <c r="C4" s="4" t="s">
        <v>233</v>
      </c>
      <c r="D4" s="4" t="s">
        <v>281</v>
      </c>
      <c r="E4" s="4" t="s">
        <v>282</v>
      </c>
      <c r="F4" s="4" t="s">
        <v>283</v>
      </c>
      <c r="G4" s="4" t="s">
        <v>284</v>
      </c>
    </row>
    <row r="5" spans="1:7" ht="28.8" x14ac:dyDescent="0.3">
      <c r="A5" s="4" t="s">
        <v>285</v>
      </c>
      <c r="B5" s="4" t="s">
        <v>286</v>
      </c>
      <c r="C5" s="4" t="s">
        <v>233</v>
      </c>
      <c r="D5" s="4" t="s">
        <v>287</v>
      </c>
      <c r="E5" s="4" t="s">
        <v>288</v>
      </c>
      <c r="F5" s="4" t="s">
        <v>289</v>
      </c>
      <c r="G5" s="4" t="s">
        <v>290</v>
      </c>
    </row>
    <row r="6" spans="1:7" x14ac:dyDescent="0.3">
      <c r="A6" s="4" t="s">
        <v>291</v>
      </c>
      <c r="B6" s="4" t="s">
        <v>292</v>
      </c>
      <c r="C6" s="4" t="s">
        <v>233</v>
      </c>
      <c r="D6" s="4" t="s">
        <v>293</v>
      </c>
      <c r="E6" s="4" t="s">
        <v>294</v>
      </c>
      <c r="F6" s="4" t="s">
        <v>283</v>
      </c>
      <c r="G6" s="4" t="s">
        <v>295</v>
      </c>
    </row>
    <row r="7" spans="1:7" x14ac:dyDescent="0.3">
      <c r="A7" s="4" t="s">
        <v>296</v>
      </c>
      <c r="B7" s="4" t="s">
        <v>297</v>
      </c>
      <c r="C7" s="4" t="s">
        <v>233</v>
      </c>
      <c r="D7" s="4" t="s">
        <v>298</v>
      </c>
      <c r="E7" s="4" t="s">
        <v>299</v>
      </c>
      <c r="F7" s="4" t="s">
        <v>151</v>
      </c>
      <c r="G7" s="4" t="s">
        <v>300</v>
      </c>
    </row>
  </sheetData>
  <autoFilter ref="A2:G7" xr:uid="{00000000-0009-0000-0000-00000B000000}"/>
  <mergeCells count="1">
    <mergeCell ref="A1:G1"/>
  </mergeCells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6"/>
  <sheetViews>
    <sheetView workbookViewId="0">
      <pane ySplit="2" topLeftCell="A3" activePane="bottomLeft" state="frozen"/>
      <selection pane="bottomLeft" activeCell="A2" sqref="A2:XFD2"/>
    </sheetView>
  </sheetViews>
  <sheetFormatPr defaultRowHeight="14.4" x14ac:dyDescent="0.3"/>
  <cols>
    <col min="1" max="1" width="38" customWidth="1"/>
    <col min="2" max="2" width="36" customWidth="1"/>
    <col min="3" max="3" width="24" customWidth="1"/>
    <col min="4" max="4" width="28" customWidth="1"/>
    <col min="5" max="5" width="55" customWidth="1"/>
    <col min="6" max="6" width="64" customWidth="1"/>
  </cols>
  <sheetData>
    <row r="1" spans="1:6" x14ac:dyDescent="0.3">
      <c r="A1" s="10" t="s">
        <v>301</v>
      </c>
      <c r="B1" s="9"/>
      <c r="C1" s="9"/>
      <c r="D1" s="9"/>
      <c r="E1" s="9"/>
      <c r="F1" s="9"/>
    </row>
    <row r="2" spans="1:6" ht="42" customHeight="1" x14ac:dyDescent="0.3">
      <c r="A2" s="3" t="s">
        <v>302</v>
      </c>
      <c r="B2" s="3" t="s">
        <v>303</v>
      </c>
      <c r="C2" s="3" t="s">
        <v>46</v>
      </c>
      <c r="D2" s="3" t="s">
        <v>47</v>
      </c>
      <c r="E2" s="3" t="s">
        <v>304</v>
      </c>
      <c r="F2" s="3" t="s">
        <v>305</v>
      </c>
    </row>
    <row r="3" spans="1:6" ht="28.8" x14ac:dyDescent="0.3">
      <c r="A3" s="4" t="s">
        <v>306</v>
      </c>
      <c r="B3" s="4" t="s">
        <v>307</v>
      </c>
      <c r="C3" s="4" t="s">
        <v>308</v>
      </c>
      <c r="D3" s="4" t="s">
        <v>309</v>
      </c>
      <c r="E3" s="4" t="s">
        <v>310</v>
      </c>
      <c r="F3" s="4" t="s">
        <v>311</v>
      </c>
    </row>
    <row r="4" spans="1:6" ht="28.8" x14ac:dyDescent="0.3">
      <c r="A4" s="4" t="s">
        <v>312</v>
      </c>
      <c r="B4" s="4" t="s">
        <v>313</v>
      </c>
      <c r="C4" s="4" t="s">
        <v>314</v>
      </c>
      <c r="D4" s="4" t="s">
        <v>174</v>
      </c>
      <c r="E4" s="4" t="s">
        <v>310</v>
      </c>
      <c r="F4" s="4" t="s">
        <v>315</v>
      </c>
    </row>
    <row r="5" spans="1:6" ht="28.8" x14ac:dyDescent="0.3">
      <c r="A5" s="4" t="s">
        <v>316</v>
      </c>
      <c r="B5" s="4" t="s">
        <v>317</v>
      </c>
      <c r="C5" s="4" t="s">
        <v>318</v>
      </c>
      <c r="D5" s="4" t="s">
        <v>174</v>
      </c>
      <c r="E5" s="4" t="s">
        <v>310</v>
      </c>
      <c r="F5" s="4" t="s">
        <v>319</v>
      </c>
    </row>
    <row r="6" spans="1:6" ht="28.8" x14ac:dyDescent="0.3">
      <c r="A6" s="4" t="s">
        <v>320</v>
      </c>
      <c r="B6" s="4" t="s">
        <v>321</v>
      </c>
      <c r="C6" s="4" t="s">
        <v>318</v>
      </c>
      <c r="D6" s="4" t="s">
        <v>174</v>
      </c>
      <c r="E6" s="4" t="s">
        <v>310</v>
      </c>
      <c r="F6" s="4" t="s">
        <v>322</v>
      </c>
    </row>
  </sheetData>
  <autoFilter ref="A2:F6" xr:uid="{00000000-0009-0000-0000-00000C000000}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12"/>
  <sheetViews>
    <sheetView workbookViewId="0">
      <pane ySplit="2" topLeftCell="A3" activePane="bottomLeft" state="frozen"/>
      <selection pane="bottomLeft" activeCell="B15" sqref="B15"/>
    </sheetView>
  </sheetViews>
  <sheetFormatPr defaultRowHeight="14.4" x14ac:dyDescent="0.3"/>
  <cols>
    <col min="1" max="1" width="10" customWidth="1"/>
    <col min="2" max="2" width="48" customWidth="1"/>
    <col min="3" max="3" width="42" customWidth="1"/>
    <col min="4" max="4" width="25" customWidth="1"/>
    <col min="5" max="5" width="62" customWidth="1"/>
    <col min="6" max="6" width="70" customWidth="1"/>
  </cols>
  <sheetData>
    <row r="1" spans="1:6" x14ac:dyDescent="0.3">
      <c r="A1" s="10" t="s">
        <v>323</v>
      </c>
      <c r="B1" s="9"/>
      <c r="C1" s="9"/>
      <c r="D1" s="9"/>
      <c r="E1" s="9"/>
      <c r="F1" s="9"/>
    </row>
    <row r="2" spans="1:6" ht="42" customHeight="1" x14ac:dyDescent="0.3">
      <c r="A2" s="3" t="s">
        <v>324</v>
      </c>
      <c r="B2" s="3" t="s">
        <v>211</v>
      </c>
      <c r="C2" s="3" t="s">
        <v>325</v>
      </c>
      <c r="D2" s="3" t="s">
        <v>46</v>
      </c>
      <c r="E2" s="3" t="s">
        <v>326</v>
      </c>
      <c r="F2" s="3" t="s">
        <v>327</v>
      </c>
    </row>
    <row r="3" spans="1:6" ht="28.8" x14ac:dyDescent="0.3">
      <c r="A3" s="4" t="s">
        <v>328</v>
      </c>
      <c r="B3" s="4" t="s">
        <v>329</v>
      </c>
      <c r="C3" s="4" t="s">
        <v>330</v>
      </c>
      <c r="D3" s="4" t="s">
        <v>331</v>
      </c>
      <c r="E3" s="4" t="s">
        <v>332</v>
      </c>
      <c r="F3" s="4" t="s">
        <v>333</v>
      </c>
    </row>
    <row r="4" spans="1:6" ht="28.8" x14ac:dyDescent="0.3">
      <c r="A4" s="4" t="s">
        <v>334</v>
      </c>
      <c r="B4" s="4" t="s">
        <v>335</v>
      </c>
      <c r="C4" s="4" t="s">
        <v>336</v>
      </c>
      <c r="D4" s="4" t="s">
        <v>337</v>
      </c>
      <c r="E4" s="4" t="s">
        <v>338</v>
      </c>
      <c r="F4" s="4" t="s">
        <v>339</v>
      </c>
    </row>
    <row r="5" spans="1:6" ht="28.8" x14ac:dyDescent="0.3">
      <c r="A5" s="4" t="s">
        <v>340</v>
      </c>
      <c r="B5" s="4" t="s">
        <v>341</v>
      </c>
      <c r="C5" s="4" t="s">
        <v>342</v>
      </c>
      <c r="D5" s="4" t="s">
        <v>78</v>
      </c>
      <c r="E5" s="4" t="s">
        <v>338</v>
      </c>
      <c r="F5" s="4" t="s">
        <v>343</v>
      </c>
    </row>
    <row r="6" spans="1:6" ht="28.8" x14ac:dyDescent="0.3">
      <c r="A6" s="4" t="s">
        <v>344</v>
      </c>
      <c r="B6" s="4" t="s">
        <v>345</v>
      </c>
      <c r="C6" s="4" t="s">
        <v>346</v>
      </c>
      <c r="D6" s="4" t="s">
        <v>314</v>
      </c>
      <c r="E6" s="4" t="s">
        <v>338</v>
      </c>
      <c r="F6" s="4" t="s">
        <v>347</v>
      </c>
    </row>
    <row r="7" spans="1:6" x14ac:dyDescent="0.3">
      <c r="A7" s="4" t="s">
        <v>348</v>
      </c>
      <c r="B7" s="4" t="s">
        <v>349</v>
      </c>
      <c r="C7" s="4" t="s">
        <v>350</v>
      </c>
      <c r="D7" s="4" t="s">
        <v>351</v>
      </c>
      <c r="E7" s="4" t="s">
        <v>352</v>
      </c>
      <c r="F7" s="4" t="s">
        <v>353</v>
      </c>
    </row>
    <row r="8" spans="1:6" ht="28.8" x14ac:dyDescent="0.3">
      <c r="A8" s="4" t="s">
        <v>354</v>
      </c>
      <c r="B8" s="4" t="s">
        <v>355</v>
      </c>
      <c r="C8" s="4" t="s">
        <v>356</v>
      </c>
      <c r="D8" s="4" t="s">
        <v>357</v>
      </c>
      <c r="E8" s="4" t="s">
        <v>358</v>
      </c>
      <c r="F8" s="4" t="s">
        <v>359</v>
      </c>
    </row>
    <row r="9" spans="1:6" ht="28.8" x14ac:dyDescent="0.3">
      <c r="A9" s="4" t="s">
        <v>360</v>
      </c>
      <c r="B9" s="4" t="s">
        <v>361</v>
      </c>
      <c r="C9" s="4" t="s">
        <v>362</v>
      </c>
      <c r="D9" s="4" t="s">
        <v>363</v>
      </c>
      <c r="E9" s="4" t="s">
        <v>364</v>
      </c>
      <c r="F9" s="4" t="s">
        <v>365</v>
      </c>
    </row>
    <row r="10" spans="1:6" ht="28.8" x14ac:dyDescent="0.3">
      <c r="A10" s="4" t="s">
        <v>366</v>
      </c>
      <c r="B10" s="4" t="s">
        <v>367</v>
      </c>
      <c r="C10" s="4" t="s">
        <v>368</v>
      </c>
      <c r="D10" s="4" t="s">
        <v>369</v>
      </c>
      <c r="E10" s="4" t="s">
        <v>370</v>
      </c>
      <c r="F10" s="4" t="s">
        <v>371</v>
      </c>
    </row>
    <row r="11" spans="1:6" x14ac:dyDescent="0.3">
      <c r="A11" s="4" t="s">
        <v>372</v>
      </c>
      <c r="B11" s="4" t="s">
        <v>373</v>
      </c>
      <c r="C11" s="4" t="s">
        <v>374</v>
      </c>
      <c r="D11" s="4" t="s">
        <v>375</v>
      </c>
      <c r="E11" s="4" t="s">
        <v>376</v>
      </c>
      <c r="F11" s="4" t="s">
        <v>377</v>
      </c>
    </row>
    <row r="12" spans="1:6" x14ac:dyDescent="0.3">
      <c r="A12" s="4" t="s">
        <v>378</v>
      </c>
      <c r="B12" s="4" t="s">
        <v>379</v>
      </c>
      <c r="C12" s="4" t="s">
        <v>380</v>
      </c>
      <c r="D12" s="4" t="s">
        <v>381</v>
      </c>
      <c r="E12" s="4" t="s">
        <v>382</v>
      </c>
      <c r="F12" s="4" t="s">
        <v>383</v>
      </c>
    </row>
  </sheetData>
  <autoFilter ref="A2:F12" xr:uid="{00000000-0009-0000-0000-00000D000000}"/>
  <mergeCells count="1">
    <mergeCell ref="A1:F1"/>
  </mergeCells>
  <pageMargins left="0.75" right="0.75" top="1" bottom="1" header="0.5" footer="0.5"/>
  <pageSetup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10"/>
  <sheetViews>
    <sheetView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1" width="32" customWidth="1"/>
    <col min="2" max="2" width="54" customWidth="1"/>
    <col min="3" max="3" width="20" customWidth="1"/>
    <col min="4" max="4" width="45" customWidth="1"/>
    <col min="5" max="5" width="18" customWidth="1"/>
    <col min="6" max="6" width="54" customWidth="1"/>
  </cols>
  <sheetData>
    <row r="1" spans="1:6" x14ac:dyDescent="0.3">
      <c r="A1" s="10" t="s">
        <v>384</v>
      </c>
      <c r="B1" s="9"/>
      <c r="C1" s="9"/>
      <c r="D1" s="9"/>
      <c r="E1" s="9"/>
      <c r="F1" s="9"/>
    </row>
    <row r="2" spans="1:6" ht="42" customHeight="1" x14ac:dyDescent="0.3">
      <c r="A2" s="3" t="s">
        <v>385</v>
      </c>
      <c r="B2" s="3" t="s">
        <v>386</v>
      </c>
      <c r="C2" s="3" t="s">
        <v>387</v>
      </c>
      <c r="D2" s="3" t="s">
        <v>388</v>
      </c>
      <c r="E2" s="3" t="s">
        <v>389</v>
      </c>
      <c r="F2" s="3" t="s">
        <v>390</v>
      </c>
    </row>
    <row r="3" spans="1:6" x14ac:dyDescent="0.3">
      <c r="A3" s="4" t="s">
        <v>391</v>
      </c>
      <c r="B3" s="4" t="s">
        <v>392</v>
      </c>
      <c r="C3" s="4" t="s">
        <v>393</v>
      </c>
      <c r="D3" s="4" t="s">
        <v>394</v>
      </c>
      <c r="E3" s="4" t="s">
        <v>395</v>
      </c>
      <c r="F3" s="4" t="s">
        <v>396</v>
      </c>
    </row>
    <row r="4" spans="1:6" x14ac:dyDescent="0.3">
      <c r="A4" s="4" t="s">
        <v>397</v>
      </c>
      <c r="B4" s="4" t="s">
        <v>398</v>
      </c>
      <c r="C4" s="4" t="s">
        <v>393</v>
      </c>
      <c r="D4" s="4" t="s">
        <v>399</v>
      </c>
      <c r="E4" s="4" t="s">
        <v>395</v>
      </c>
      <c r="F4" s="4" t="s">
        <v>400</v>
      </c>
    </row>
    <row r="5" spans="1:6" x14ac:dyDescent="0.3">
      <c r="A5" s="4" t="s">
        <v>401</v>
      </c>
      <c r="B5" s="4" t="s">
        <v>402</v>
      </c>
      <c r="C5" s="4" t="s">
        <v>403</v>
      </c>
      <c r="D5" s="4" t="s">
        <v>404</v>
      </c>
      <c r="E5" s="4" t="s">
        <v>405</v>
      </c>
      <c r="F5" s="4" t="s">
        <v>406</v>
      </c>
    </row>
    <row r="6" spans="1:6" x14ac:dyDescent="0.3">
      <c r="A6" s="4" t="s">
        <v>407</v>
      </c>
      <c r="B6" s="4" t="s">
        <v>408</v>
      </c>
      <c r="C6" s="4" t="s">
        <v>409</v>
      </c>
      <c r="D6" s="4" t="s">
        <v>410</v>
      </c>
      <c r="E6" s="4" t="s">
        <v>405</v>
      </c>
      <c r="F6" s="4" t="s">
        <v>411</v>
      </c>
    </row>
    <row r="7" spans="1:6" x14ac:dyDescent="0.3">
      <c r="A7" s="4" t="s">
        <v>412</v>
      </c>
      <c r="B7" s="4" t="s">
        <v>413</v>
      </c>
      <c r="C7" s="4" t="s">
        <v>414</v>
      </c>
      <c r="D7" s="4" t="s">
        <v>415</v>
      </c>
      <c r="E7" s="4" t="s">
        <v>416</v>
      </c>
      <c r="F7" s="4" t="s">
        <v>142</v>
      </c>
    </row>
    <row r="8" spans="1:6" x14ac:dyDescent="0.3">
      <c r="A8" s="4" t="s">
        <v>69</v>
      </c>
      <c r="B8" s="4" t="s">
        <v>417</v>
      </c>
      <c r="C8" s="4" t="s">
        <v>418</v>
      </c>
      <c r="D8" s="4" t="s">
        <v>419</v>
      </c>
      <c r="E8" s="4" t="s">
        <v>420</v>
      </c>
      <c r="F8" s="4" t="s">
        <v>421</v>
      </c>
    </row>
    <row r="9" spans="1:6" x14ac:dyDescent="0.3">
      <c r="A9" s="4" t="s">
        <v>422</v>
      </c>
      <c r="B9" s="4" t="s">
        <v>423</v>
      </c>
      <c r="C9" s="4" t="s">
        <v>424</v>
      </c>
      <c r="D9" s="4" t="s">
        <v>425</v>
      </c>
      <c r="E9" s="4" t="s">
        <v>426</v>
      </c>
      <c r="F9" s="4" t="s">
        <v>427</v>
      </c>
    </row>
    <row r="10" spans="1:6" x14ac:dyDescent="0.3">
      <c r="A10" s="4" t="s">
        <v>428</v>
      </c>
      <c r="B10" s="4" t="s">
        <v>429</v>
      </c>
      <c r="C10" s="4" t="s">
        <v>430</v>
      </c>
      <c r="D10" s="4" t="s">
        <v>431</v>
      </c>
      <c r="E10" s="4" t="s">
        <v>432</v>
      </c>
      <c r="F10" s="4" t="s">
        <v>433</v>
      </c>
    </row>
  </sheetData>
  <autoFilter ref="A2:F10" xr:uid="{00000000-0009-0000-0000-00000E000000}"/>
  <mergeCells count="1">
    <mergeCell ref="A1:F1"/>
  </mergeCells>
  <pageMargins left="0.75" right="0.75" top="1" bottom="1" header="0.5" footer="0.5"/>
  <pageSetup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8"/>
  <sheetViews>
    <sheetView workbookViewId="0">
      <pane ySplit="2" topLeftCell="A3" activePane="bottomLeft" state="frozen"/>
      <selection pane="bottomLeft" activeCell="C13" sqref="C13"/>
    </sheetView>
  </sheetViews>
  <sheetFormatPr defaultRowHeight="14.4" x14ac:dyDescent="0.3"/>
  <cols>
    <col min="1" max="1" width="18" customWidth="1"/>
    <col min="2" max="2" width="56" customWidth="1"/>
    <col min="3" max="3" width="48" customWidth="1"/>
    <col min="4" max="4" width="38" customWidth="1"/>
    <col min="5" max="5" width="68" customWidth="1"/>
  </cols>
  <sheetData>
    <row r="1" spans="1:5" x14ac:dyDescent="0.3">
      <c r="A1" s="10" t="s">
        <v>434</v>
      </c>
      <c r="B1" s="9"/>
      <c r="C1" s="9"/>
      <c r="D1" s="9"/>
      <c r="E1" s="9"/>
    </row>
    <row r="2" spans="1:5" ht="42" customHeight="1" x14ac:dyDescent="0.3">
      <c r="A2" s="3" t="s">
        <v>435</v>
      </c>
      <c r="B2" s="3" t="s">
        <v>436</v>
      </c>
      <c r="C2" s="3" t="s">
        <v>437</v>
      </c>
      <c r="D2" s="3" t="s">
        <v>438</v>
      </c>
      <c r="E2" s="3" t="s">
        <v>439</v>
      </c>
    </row>
    <row r="3" spans="1:5" x14ac:dyDescent="0.3">
      <c r="A3" s="4" t="s">
        <v>440</v>
      </c>
      <c r="B3" s="4" t="s">
        <v>441</v>
      </c>
      <c r="C3" s="4" t="s">
        <v>442</v>
      </c>
      <c r="D3" s="4" t="s">
        <v>443</v>
      </c>
      <c r="E3" s="4" t="s">
        <v>444</v>
      </c>
    </row>
    <row r="4" spans="1:5" x14ac:dyDescent="0.3">
      <c r="A4" s="4" t="s">
        <v>445</v>
      </c>
      <c r="B4" s="4" t="s">
        <v>446</v>
      </c>
      <c r="C4" s="4" t="s">
        <v>447</v>
      </c>
      <c r="D4" s="4" t="s">
        <v>448</v>
      </c>
      <c r="E4" s="4" t="s">
        <v>449</v>
      </c>
    </row>
    <row r="5" spans="1:5" ht="28.8" x14ac:dyDescent="0.3">
      <c r="A5" s="4" t="s">
        <v>450</v>
      </c>
      <c r="B5" s="4" t="s">
        <v>451</v>
      </c>
      <c r="C5" s="4" t="s">
        <v>452</v>
      </c>
      <c r="D5" s="4" t="s">
        <v>453</v>
      </c>
      <c r="E5" s="4" t="s">
        <v>454</v>
      </c>
    </row>
    <row r="6" spans="1:5" ht="28.8" x14ac:dyDescent="0.3">
      <c r="A6" s="4" t="s">
        <v>455</v>
      </c>
      <c r="B6" s="4" t="s">
        <v>456</v>
      </c>
      <c r="C6" s="4" t="s">
        <v>457</v>
      </c>
      <c r="D6" s="4" t="s">
        <v>458</v>
      </c>
      <c r="E6" s="4" t="s">
        <v>459</v>
      </c>
    </row>
    <row r="7" spans="1:5" ht="28.8" x14ac:dyDescent="0.3">
      <c r="A7" s="4" t="s">
        <v>460</v>
      </c>
      <c r="B7" s="4" t="s">
        <v>461</v>
      </c>
      <c r="C7" s="4" t="s">
        <v>462</v>
      </c>
      <c r="D7" s="4" t="s">
        <v>463</v>
      </c>
      <c r="E7" s="4" t="s">
        <v>464</v>
      </c>
    </row>
    <row r="8" spans="1:5" ht="28.8" x14ac:dyDescent="0.3">
      <c r="A8" s="4" t="s">
        <v>465</v>
      </c>
      <c r="B8" s="4" t="s">
        <v>466</v>
      </c>
      <c r="C8" s="4" t="s">
        <v>467</v>
      </c>
      <c r="D8" s="4" t="s">
        <v>468</v>
      </c>
      <c r="E8" s="4" t="s">
        <v>469</v>
      </c>
    </row>
  </sheetData>
  <autoFilter ref="A2:E8" xr:uid="{00000000-0009-0000-0000-00000F000000}"/>
  <mergeCells count="1">
    <mergeCell ref="A1:E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START HERE</vt:lpstr>
      <vt:lpstr>Dashboard</vt:lpstr>
      <vt:lpstr>Annual Data</vt:lpstr>
      <vt:lpstr>Objective 1</vt:lpstr>
      <vt:lpstr>Objective 2</vt:lpstr>
      <vt:lpstr>Objective 3</vt:lpstr>
      <vt:lpstr>Objective 4</vt:lpstr>
      <vt:lpstr>Objective 5</vt:lpstr>
      <vt:lpstr>Objective 6</vt:lpstr>
      <vt:lpstr>Agreement Register</vt:lpstr>
      <vt:lpstr>Defence Register</vt:lpstr>
      <vt:lpstr>Project Register</vt:lpstr>
      <vt:lpstr>Loan &amp; Debt To Collect</vt:lpstr>
      <vt:lpstr>Source Log</vt:lpstr>
      <vt:lpstr>Codebook</vt:lpstr>
      <vt:lpstr>Analysis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Renu bharti</cp:lastModifiedBy>
  <dcterms:created xsi:type="dcterms:W3CDTF">2026-10-26T02:10:22Z</dcterms:created>
  <dcterms:modified xsi:type="dcterms:W3CDTF">2026-10-26T02:22:36Z</dcterms:modified>
</cp:coreProperties>
</file>