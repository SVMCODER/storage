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6900" activeTab="4"/>
  </bookViews>
  <sheets>
    <sheet name="Sheet3" sheetId="3" r:id="rId1"/>
    <sheet name="Sheet1" sheetId="1" r:id="rId2"/>
    <sheet name="SHEET 1" sheetId="2" r:id="rId3"/>
    <sheet name="Sheet5" sheetId="5" r:id="rId4"/>
    <sheet name="Sheet4" sheetId="4" r:id="rId5"/>
  </sheets>
  <definedNames>
    <definedName name="_Hlk211195752" localSheetId="2">'SHEET 1'!$C$74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<sst xmlns="http://schemas.openxmlformats.org/spreadsheetml/2006/main" count="214" uniqueCount="106">
  <si>
    <t>MOOD STATE SCALE FOR OSTEO ARTHRITIS ELDERLY ADULT before humor therapy</t>
  </si>
  <si>
    <t>s.no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</si>
  <si>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</si>
  <si>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</si>
  <si>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</si>
  <si>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</si>
  <si>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</si>
  <si>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</si>
  <si>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</si>
  <si>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</si>
  <si>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</si>
  <si>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</si>
  <si>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Disagree (4R)</t>
  </si>
  <si>
    <t>Agree (2R)</t>
  </si>
  <si>
    <t>Neutral (3R)</t>
  </si>
  <si>
    <t>Agree 4</t>
  </si>
  <si>
    <t>Neutral 3</t>
  </si>
  <si>
    <t>Strongly Agree (1R)</t>
  </si>
  <si>
    <t>Neutral (3R</t>
  </si>
  <si>
    <t>Disagree2</t>
  </si>
  <si>
    <t>strongly agree5</t>
  </si>
  <si>
    <t>Strongly Disagree (5R)</t>
  </si>
  <si>
    <t>Neutra3</t>
  </si>
  <si>
    <t>]</t>
  </si>
  <si>
    <r>
      <rPr>
        <sz val="11"/>
        <color theme="1"/>
        <rFont val="Aptos Narrow"/>
        <charset val="134"/>
        <scheme val="minor"/>
      </rPr>
      <t xml:space="preserve"> </t>
    </r>
    <r>
      <rPr>
        <b/>
        <sz val="11"/>
        <color theme="1"/>
        <rFont val="Aptos Narrow"/>
        <charset val="134"/>
        <scheme val="minor"/>
      </rPr>
      <t>PRE TEST PSQI SCALE BEFORE THERAPEUTIC HUMOR</t>
    </r>
  </si>
  <si>
    <t>Sl NO</t>
  </si>
  <si>
    <t>Sleep Quality</t>
  </si>
  <si>
    <t>Sleep Latency</t>
  </si>
  <si>
    <t>Sleep Duration</t>
  </si>
  <si>
    <t>Sleep Efficiency</t>
  </si>
  <si>
    <t>Sleep DisturbenceC5</t>
  </si>
  <si>
    <t>Use of Sleep Medicine</t>
  </si>
  <si>
    <t>Day Time Disfunction</t>
  </si>
  <si>
    <t>C1</t>
  </si>
  <si>
    <t>C2</t>
  </si>
  <si>
    <t>C3</t>
  </si>
  <si>
    <t>C4</t>
  </si>
  <si>
    <t>B</t>
  </si>
  <si>
    <t>C</t>
  </si>
  <si>
    <t>D</t>
  </si>
  <si>
    <t>E</t>
  </si>
  <si>
    <t>F</t>
  </si>
  <si>
    <t>G</t>
  </si>
  <si>
    <t>H</t>
  </si>
  <si>
    <t>I</t>
  </si>
  <si>
    <t>j</t>
  </si>
  <si>
    <t>C6</t>
  </si>
  <si>
    <t xml:space="preserve">                         C7</t>
  </si>
  <si>
    <t>item no 9</t>
  </si>
  <si>
    <t xml:space="preserve">item no2  </t>
  </si>
  <si>
    <t>item no 5a</t>
  </si>
  <si>
    <t>sum</t>
  </si>
  <si>
    <t>item no 4</t>
  </si>
  <si>
    <t>item no 1</t>
  </si>
  <si>
    <t>item no 3</t>
  </si>
  <si>
    <t xml:space="preserve"> total </t>
  </si>
  <si>
    <t>item 5b</t>
  </si>
  <si>
    <t>item 5c</t>
  </si>
  <si>
    <t>item 5d</t>
  </si>
  <si>
    <t>item 5e</t>
  </si>
  <si>
    <t>item 5f</t>
  </si>
  <si>
    <t>item 5g</t>
  </si>
  <si>
    <t>item 5h</t>
  </si>
  <si>
    <t>item 5i</t>
  </si>
  <si>
    <t>item 5j</t>
  </si>
  <si>
    <t>item 6</t>
  </si>
  <si>
    <t>Item 7</t>
  </si>
  <si>
    <t>Item8</t>
  </si>
  <si>
    <t xml:space="preserve">global psqi </t>
  </si>
  <si>
    <t>DEMOGRAPHIC DATA BEFORE THERAPUTIC HUMOR</t>
  </si>
  <si>
    <t>S.NO</t>
  </si>
  <si>
    <t>AGE</t>
  </si>
  <si>
    <t>GENDER</t>
  </si>
  <si>
    <t>Marital</t>
  </si>
  <si>
    <t>EDUCATIONAL STATUS</t>
  </si>
  <si>
    <t xml:space="preserve"> OCCPUATION</t>
  </si>
  <si>
    <t>MONTHLY FAMILY INCOME</t>
  </si>
  <si>
    <t>LIVING ARRANGEMENT</t>
  </si>
  <si>
    <t>TYPE OF FAMILY</t>
  </si>
  <si>
    <t>PHYSICAL ACTIVITY</t>
  </si>
  <si>
    <t>HABITS</t>
  </si>
  <si>
    <t>DURATION OF OSTEOARTHRITIS</t>
  </si>
  <si>
    <t>ASSOCIATED COMORBIDITES</t>
  </si>
  <si>
    <t>PRIMARY PAIN IN AREA</t>
  </si>
  <si>
    <t>PAIN SCORE</t>
  </si>
  <si>
    <t>blood pressure</t>
  </si>
  <si>
    <t>ID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</si>
  <si>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</si>
  <si>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</si>
  <si>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</si>
  <si>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</si>
  <si>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</si>
  <si>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</si>
  <si>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</si>
  <si>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</si>
  <si>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</si>
  <si>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</si>
  <si>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</si>
  <si>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</si>
  <si>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</si>
  <si>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Pain (0–10)</t>
  </si>
  <si>
    <t>Systolic BP</t>
  </si>
  <si>
    <t>Diastolic BP</t>
  </si>
  <si>
    <t>z</t>
  </si>
  <si>
    <t>1,2,3</t>
  </si>
  <si>
    <t>2,3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</si>
</sst>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8"/>
      <color theme="1"/>
      <name val="Times New Roman"/>
      <charset val="134"/>
    </font>
    <font>
      <b/>
      <sz val="8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7" applyNumberFormat="0" applyAlignment="0" applyProtection="0">
      <alignment vertical="center"/>
    </xf>
    <xf numFmtId="0" fontId="18" fillId="5" borderId="18" applyNumberFormat="0" applyAlignment="0" applyProtection="0">
      <alignment vertical="center"/>
    </xf>
    <xf numFmtId="0" fontId="19" fillId="5" borderId="17" applyNumberFormat="0" applyAlignment="0" applyProtection="0">
      <alignment vertical="center"/>
    </xf>
    <xf numFmtId="0" fontId="20" fillId="6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0" fillId="0" borderId="0" xfId="0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/>
    <xf numFmtId="0" fontId="0" fillId="0" borderId="3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5"/>
    </xf>
    <xf numFmtId="0" fontId="6" fillId="0" borderId="3" xfId="0" applyFont="1" applyBorder="1" applyAlignment="1">
      <alignment horizontal="center"/>
    </xf>
    <xf numFmtId="0" fontId="6" fillId="0" borderId="10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6" fillId="0" borderId="1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20" fontId="7" fillId="0" borderId="3" xfId="0" applyNumberFormat="1" applyFont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41"/>
  <sheetViews>
    <sheetView zoomScale="81" zoomScaleNormal="81" workbookViewId="0">
      <selection activeCell="B4" sqref="B4:L24"/>
    </sheetView>
  </sheetViews>
  <sheetFormatPr defaultColWidth="9" defaultRowHeight="13.5"/>
  <cols>
    <col min="1" max="1" width="4.85833333333333" customWidth="1"/>
    <col min="2" max="2" width="11.8583333333333" customWidth="1"/>
    <col min="3" max="3" width="13.7083333333333" customWidth="1"/>
    <col min="4" max="4" width="13" customWidth="1"/>
    <col min="5" max="5" width="13.7083333333333" customWidth="1"/>
    <col min="6" max="6" width="10.8583333333333" customWidth="1"/>
    <col min="7" max="7" width="11" customWidth="1"/>
    <col min="8" max="8" width="14.7083333333333" customWidth="1"/>
    <col min="9" max="9" width="11.1416666666667" customWidth="1"/>
    <col min="10" max="10" width="9.70833333333333" customWidth="1"/>
    <col min="11" max="11" width="12.1416666666667" customWidth="1"/>
    <col min="12" max="12" width="4.14166666666667" customWidth="1"/>
  </cols>
  <sheetData>
    <row r="2" spans="1:12">
      <c r="E2" t="s">
        <v>0</v>
      </c>
    </row>
    <row r="4" spans="1:12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</row>
    <row r="5" spans="1:12">
      <c r="A5">
        <v>1</v>
      </c>
      <c r="B5" t="s">
        <v>12</v>
      </c>
      <c r="C5" t="s">
        <v>13</v>
      </c>
      <c r="D5" t="s">
        <v>14</v>
      </c>
      <c r="E5" t="s">
        <v>12</v>
      </c>
      <c r="F5" t="s">
        <v>15</v>
      </c>
      <c r="G5" t="s">
        <v>16</v>
      </c>
      <c r="H5" t="s">
        <v>15</v>
      </c>
      <c r="I5" t="s">
        <v>15</v>
      </c>
      <c r="J5" t="s">
        <v>16</v>
      </c>
      <c r="K5" t="s">
        <v>15</v>
      </c>
    </row>
    <row r="6" spans="1:12">
      <c r="A6">
        <v>2</v>
      </c>
      <c r="B6" t="s">
        <v>17</v>
      </c>
      <c r="C6" t="s">
        <v>13</v>
      </c>
      <c r="D6" t="s">
        <v>13</v>
      </c>
      <c r="E6" t="s">
        <v>18</v>
      </c>
      <c r="F6" t="s">
        <v>16</v>
      </c>
      <c r="G6" t="s">
        <v>16</v>
      </c>
      <c r="H6" t="s">
        <v>16</v>
      </c>
      <c r="I6" t="s">
        <v>19</v>
      </c>
      <c r="J6" t="s">
        <v>16</v>
      </c>
      <c r="K6" t="s">
        <v>16</v>
      </c>
    </row>
    <row r="7" spans="1:12">
      <c r="A7">
        <v>3</v>
      </c>
      <c r="B7" t="s">
        <v>12</v>
      </c>
      <c r="C7" t="s">
        <v>12</v>
      </c>
      <c r="D7" t="s">
        <v>14</v>
      </c>
      <c r="E7" t="s">
        <v>12</v>
      </c>
      <c r="F7" t="s">
        <v>15</v>
      </c>
      <c r="G7" t="s">
        <v>15</v>
      </c>
      <c r="H7" t="s">
        <v>15</v>
      </c>
      <c r="I7" t="s">
        <v>20</v>
      </c>
      <c r="J7" t="s">
        <v>15</v>
      </c>
      <c r="K7" t="s">
        <v>15</v>
      </c>
    </row>
    <row r="8" spans="1:12">
      <c r="A8">
        <v>4</v>
      </c>
      <c r="B8" t="s">
        <v>14</v>
      </c>
      <c r="C8" t="s">
        <v>14</v>
      </c>
      <c r="D8" t="s">
        <v>14</v>
      </c>
      <c r="E8" t="s">
        <v>18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</row>
    <row r="9" spans="1:12">
      <c r="A9">
        <v>5</v>
      </c>
      <c r="B9" t="s">
        <v>21</v>
      </c>
      <c r="C9" t="s">
        <v>12</v>
      </c>
      <c r="D9" t="s">
        <v>12</v>
      </c>
      <c r="E9" t="s">
        <v>12</v>
      </c>
      <c r="F9" t="s">
        <v>15</v>
      </c>
      <c r="G9" t="s">
        <v>15</v>
      </c>
      <c r="H9" t="s">
        <v>20</v>
      </c>
      <c r="I9" t="s">
        <v>15</v>
      </c>
      <c r="J9" t="s">
        <v>20</v>
      </c>
      <c r="K9" t="s">
        <v>15</v>
      </c>
    </row>
    <row r="10" spans="1:12">
      <c r="A10">
        <v>6</v>
      </c>
      <c r="B10" t="s">
        <v>13</v>
      </c>
      <c r="C10" t="s">
        <v>17</v>
      </c>
      <c r="D10" t="s">
        <v>13</v>
      </c>
      <c r="E10" t="s">
        <v>13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</row>
    <row r="11" spans="1:12">
      <c r="A11">
        <v>7</v>
      </c>
      <c r="B11" t="s">
        <v>12</v>
      </c>
      <c r="C11" t="s">
        <v>14</v>
      </c>
      <c r="D11" t="s">
        <v>14</v>
      </c>
      <c r="E11" t="s">
        <v>14</v>
      </c>
      <c r="F11" t="s">
        <v>15</v>
      </c>
      <c r="G11" t="s">
        <v>15</v>
      </c>
      <c r="H11" t="s">
        <v>16</v>
      </c>
      <c r="I11" t="s">
        <v>15</v>
      </c>
      <c r="J11" t="s">
        <v>16</v>
      </c>
      <c r="K11" t="s">
        <v>15</v>
      </c>
    </row>
    <row r="12" spans="1:12">
      <c r="A12">
        <v>8</v>
      </c>
      <c r="B12" t="s">
        <v>21</v>
      </c>
      <c r="C12" t="s">
        <v>21</v>
      </c>
      <c r="D12" t="s">
        <v>12</v>
      </c>
      <c r="E12" t="s">
        <v>12</v>
      </c>
      <c r="F12" t="s">
        <v>15</v>
      </c>
      <c r="G12" t="s">
        <v>20</v>
      </c>
      <c r="H12" t="s">
        <v>20</v>
      </c>
      <c r="I12" t="s">
        <v>15</v>
      </c>
      <c r="J12" t="s">
        <v>20</v>
      </c>
      <c r="K12" t="s">
        <v>20</v>
      </c>
    </row>
    <row r="13" spans="1:12">
      <c r="A13">
        <v>9</v>
      </c>
      <c r="B13" t="s">
        <v>14</v>
      </c>
      <c r="C13" t="s">
        <v>14</v>
      </c>
      <c r="D13" t="s">
        <v>14</v>
      </c>
      <c r="E13" t="s">
        <v>14</v>
      </c>
      <c r="F13" t="s">
        <v>19</v>
      </c>
      <c r="G13" t="s">
        <v>22</v>
      </c>
      <c r="H13" t="s">
        <v>22</v>
      </c>
      <c r="I13" t="s">
        <v>16</v>
      </c>
      <c r="J13" t="s">
        <v>16</v>
      </c>
      <c r="K13" t="s">
        <v>16</v>
      </c>
    </row>
    <row r="14" spans="1:12">
      <c r="A14">
        <v>10</v>
      </c>
      <c r="B14" t="s">
        <v>12</v>
      </c>
      <c r="C14" t="s">
        <v>12</v>
      </c>
      <c r="D14" t="s">
        <v>14</v>
      </c>
      <c r="E14" t="s">
        <v>12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</row>
    <row r="15" spans="1:12">
      <c r="B15" s="7">
        <v>4</v>
      </c>
      <c r="C15" s="7">
        <v>2</v>
      </c>
      <c r="D15" s="7">
        <v>3</v>
      </c>
      <c r="E15" s="7">
        <v>4</v>
      </c>
      <c r="F15" s="7">
        <v>4</v>
      </c>
      <c r="G15" s="7">
        <v>3</v>
      </c>
      <c r="H15" s="7">
        <v>4</v>
      </c>
      <c r="I15" s="7">
        <v>4</v>
      </c>
      <c r="J15" s="7">
        <v>3</v>
      </c>
      <c r="K15" s="7">
        <v>4</v>
      </c>
      <c r="L15">
        <f t="shared" ref="L15:L21" si="0">SUM(B15:K15)</f>
        <v>35</v>
      </c>
    </row>
    <row r="16" spans="1:12">
      <c r="B16" s="7">
        <v>1</v>
      </c>
      <c r="C16" s="7">
        <v>2</v>
      </c>
      <c r="D16" s="7">
        <v>2</v>
      </c>
      <c r="E16" s="7">
        <v>3</v>
      </c>
      <c r="F16" s="7">
        <v>3</v>
      </c>
      <c r="G16" s="7">
        <v>3</v>
      </c>
      <c r="H16" s="7">
        <v>3</v>
      </c>
      <c r="I16" s="7">
        <v>2</v>
      </c>
      <c r="J16" s="7">
        <v>3</v>
      </c>
      <c r="K16" s="7">
        <v>3</v>
      </c>
      <c r="L16">
        <f t="shared" si="0"/>
        <v>25</v>
      </c>
    </row>
    <row r="17" spans="2:12">
      <c r="B17" s="7">
        <v>4</v>
      </c>
      <c r="C17" s="7">
        <v>4</v>
      </c>
      <c r="D17" s="7">
        <v>3</v>
      </c>
      <c r="E17" s="7">
        <v>4</v>
      </c>
      <c r="F17" s="7">
        <v>4</v>
      </c>
      <c r="G17" s="7">
        <v>4</v>
      </c>
      <c r="H17" s="7">
        <v>4</v>
      </c>
      <c r="I17" s="7">
        <v>5</v>
      </c>
      <c r="J17" s="7">
        <v>4</v>
      </c>
      <c r="K17" s="7">
        <v>4</v>
      </c>
      <c r="L17">
        <f t="shared" si="0"/>
        <v>40</v>
      </c>
    </row>
    <row r="18" spans="2:12">
      <c r="B18" s="7">
        <v>3</v>
      </c>
      <c r="C18" s="7">
        <v>3</v>
      </c>
      <c r="D18" s="7">
        <v>3</v>
      </c>
      <c r="E18" s="7">
        <v>3</v>
      </c>
      <c r="F18" s="7">
        <v>3</v>
      </c>
      <c r="G18" s="7">
        <v>3</v>
      </c>
      <c r="H18" s="7">
        <v>3</v>
      </c>
      <c r="I18" s="7">
        <v>3</v>
      </c>
      <c r="J18" s="7">
        <v>3</v>
      </c>
      <c r="K18" s="7">
        <v>3</v>
      </c>
      <c r="L18">
        <f t="shared" si="0"/>
        <v>30</v>
      </c>
    </row>
    <row r="19" spans="2:12">
      <c r="B19" s="7">
        <v>5</v>
      </c>
      <c r="C19" s="7">
        <v>4</v>
      </c>
      <c r="D19" s="7">
        <v>4</v>
      </c>
      <c r="E19" s="7">
        <v>4</v>
      </c>
      <c r="F19" s="7">
        <v>4</v>
      </c>
      <c r="G19" s="7">
        <v>4</v>
      </c>
      <c r="H19" s="7">
        <v>5</v>
      </c>
      <c r="I19" s="7">
        <v>4</v>
      </c>
      <c r="J19" s="7">
        <v>5</v>
      </c>
      <c r="K19" s="7">
        <v>4</v>
      </c>
      <c r="L19">
        <f t="shared" si="0"/>
        <v>43</v>
      </c>
    </row>
    <row r="20" spans="2:12">
      <c r="B20" s="7">
        <v>2</v>
      </c>
      <c r="C20" s="7">
        <v>1</v>
      </c>
      <c r="D20" s="7">
        <v>2</v>
      </c>
      <c r="E20" s="7">
        <v>2</v>
      </c>
      <c r="F20" s="7">
        <v>3</v>
      </c>
      <c r="G20" s="7">
        <v>3</v>
      </c>
      <c r="H20" s="7">
        <v>3</v>
      </c>
      <c r="I20" s="7">
        <v>3</v>
      </c>
      <c r="J20" s="7">
        <v>3</v>
      </c>
      <c r="K20" s="7">
        <v>3</v>
      </c>
      <c r="L20">
        <f t="shared" si="0"/>
        <v>25</v>
      </c>
    </row>
    <row r="21" spans="2:12">
      <c r="B21" s="7">
        <v>4</v>
      </c>
      <c r="C21" s="7">
        <v>3</v>
      </c>
      <c r="D21" s="7">
        <v>3</v>
      </c>
      <c r="E21" s="7">
        <v>3</v>
      </c>
      <c r="F21" s="7">
        <v>4</v>
      </c>
      <c r="G21" s="7">
        <v>4</v>
      </c>
      <c r="H21" s="7">
        <v>3</v>
      </c>
      <c r="I21" s="7">
        <v>4</v>
      </c>
      <c r="J21" s="7">
        <v>3</v>
      </c>
      <c r="K21" s="7">
        <v>4</v>
      </c>
      <c r="L21">
        <f t="shared" si="0"/>
        <v>35</v>
      </c>
    </row>
    <row r="22" spans="2:12">
      <c r="B22" s="7">
        <v>5</v>
      </c>
      <c r="C22" s="7">
        <v>5</v>
      </c>
      <c r="D22" s="7">
        <v>4</v>
      </c>
      <c r="E22" s="7">
        <v>4</v>
      </c>
      <c r="F22" s="7">
        <v>4</v>
      </c>
      <c r="G22" s="7">
        <v>5</v>
      </c>
      <c r="H22" s="7">
        <v>5</v>
      </c>
      <c r="I22" s="7">
        <v>4</v>
      </c>
      <c r="J22" s="7">
        <v>5</v>
      </c>
      <c r="K22" s="7">
        <v>5</v>
      </c>
      <c r="L22">
        <f>SUM(C22:K22)</f>
        <v>41</v>
      </c>
    </row>
    <row r="23" spans="2:12">
      <c r="B23" s="7">
        <v>3</v>
      </c>
      <c r="C23" s="7">
        <v>3</v>
      </c>
      <c r="D23" s="7">
        <v>3</v>
      </c>
      <c r="E23" s="7">
        <v>3</v>
      </c>
      <c r="F23" s="7">
        <v>2</v>
      </c>
      <c r="G23" s="7">
        <v>3</v>
      </c>
      <c r="H23" s="7">
        <v>3</v>
      </c>
      <c r="I23" s="7">
        <v>3</v>
      </c>
      <c r="J23" s="7">
        <v>3</v>
      </c>
      <c r="K23" s="7">
        <v>3</v>
      </c>
      <c r="L23">
        <f>SUM(C23:K23)</f>
        <v>26</v>
      </c>
    </row>
    <row r="24" spans="2:12">
      <c r="B24" s="7">
        <v>4</v>
      </c>
      <c r="C24" s="7">
        <v>4</v>
      </c>
      <c r="D24" s="7">
        <v>3</v>
      </c>
      <c r="E24" s="7">
        <v>4</v>
      </c>
      <c r="F24" s="7">
        <v>4</v>
      </c>
      <c r="G24" s="7">
        <v>4</v>
      </c>
      <c r="H24" s="7">
        <v>4</v>
      </c>
      <c r="I24" s="7">
        <v>4</v>
      </c>
      <c r="J24" s="7">
        <v>4</v>
      </c>
      <c r="K24" s="7">
        <v>4</v>
      </c>
      <c r="L24">
        <f>SUM(B24:K24)</f>
        <v>39</v>
      </c>
    </row>
    <row r="26" spans="2:12">
      <c r="C26" s="7"/>
      <c r="D26" s="7"/>
      <c r="E26" s="7"/>
      <c r="F26" s="7"/>
      <c r="G26" s="7"/>
      <c r="H26" s="7"/>
      <c r="I26" s="7"/>
      <c r="J26" s="7"/>
      <c r="K26" s="7"/>
      <c r="L26" s="7"/>
    </row>
    <row r="33" ht="15.75" spans="8:9">
      <c r="H33" s="44"/>
      <c r="I33" s="44"/>
    </row>
    <row r="34" ht="15.75" spans="8:9">
      <c r="H34" s="44"/>
      <c r="I34" s="44"/>
    </row>
    <row r="35" ht="15.75" spans="8:9">
      <c r="H35" s="44"/>
      <c r="I35" s="44" t="s">
        <v>23</v>
      </c>
    </row>
    <row r="36" ht="15.75" spans="8:9">
      <c r="H36" s="44"/>
      <c r="I36" s="44"/>
    </row>
    <row r="37" ht="15.75" spans="8:9">
      <c r="H37" s="23"/>
    </row>
    <row r="38" ht="15.75" spans="8:9">
      <c r="H38" s="23"/>
    </row>
    <row r="39" ht="15.75" spans="8:9">
      <c r="H39" s="23"/>
    </row>
    <row r="40" ht="15.75" spans="8:9">
      <c r="H40" s="23"/>
    </row>
    <row r="41" ht="15.75" spans="8:9">
      <c r="H41" s="23"/>
    </row>
  </sheetData>
  <mergeCells count="1">
    <mergeCell ref="E2:J2"/>
  </mergeCells>
  <pageMargins left="0.25" right="0.25" top="0.75" bottom="0.75" header="0.3" footer="0.3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E100"/>
  <sheetViews>
    <sheetView topLeftCell="A47" workbookViewId="0">
      <selection activeCell="D1" sqref="D1:N1"/>
    </sheetView>
  </sheetViews>
  <sheetFormatPr defaultColWidth="9" defaultRowHeight="13.5"/>
  <cols>
    <col min="1" max="1" width="9.14166666666667" style="7"/>
    <col min="2" max="2" width="6.85833333333333" style="7" customWidth="1"/>
    <col min="3" max="3" width="3.85833333333333" style="7" customWidth="1"/>
    <col min="4" max="4" width="2.425" style="7" customWidth="1"/>
    <col min="5" max="5" width="2.70833333333333" style="7" customWidth="1"/>
    <col min="6" max="6" width="2.85833333333333" style="7" customWidth="1"/>
    <col min="7" max="7" width="2.56666666666667" style="7" customWidth="1"/>
    <col min="8" max="8" width="5.85833333333333" style="7" customWidth="1"/>
    <col min="9" max="9" width="4.425" style="7" customWidth="1"/>
    <col min="10" max="10" width="4.70833333333333" style="7" customWidth="1"/>
    <col min="11" max="11" width="5.425" style="7" customWidth="1"/>
    <col min="12" max="13" width="5.85833333333333" style="7" customWidth="1"/>
    <col min="14" max="14" width="6.14166666666667" style="7" customWidth="1"/>
    <col min="15" max="15" width="4.85833333333333" style="7" customWidth="1"/>
    <col min="16" max="16" width="5" style="7" customWidth="1"/>
    <col min="17" max="18" width="4.56666666666667" style="7" customWidth="1"/>
    <col min="19" max="19" width="4.425" style="7" customWidth="1"/>
    <col min="20" max="20" width="5.14166666666667" style="7" customWidth="1"/>
    <col min="21" max="21" width="4.85833333333333" style="7" customWidth="1"/>
    <col min="22" max="22" width="5" style="7" customWidth="1"/>
    <col min="23" max="23" width="4.14166666666667" style="7" customWidth="1"/>
    <col min="24" max="24" width="4.85833333333333" style="7" customWidth="1"/>
    <col min="25" max="25" width="4.56666666666667" style="7" customWidth="1"/>
    <col min="26" max="26" width="4.70833333333333" style="7" customWidth="1"/>
    <col min="27" max="27" width="5" style="7" customWidth="1"/>
    <col min="28" max="28" width="4.28333333333333" style="7" customWidth="1"/>
    <col min="29" max="16384" width="9.14166666666667" style="7"/>
  </cols>
  <sheetData>
    <row r="1" ht="28.5" customHeight="1" spans="2:31">
      <c r="J1" s="7" t="s">
        <v>24</v>
      </c>
    </row>
    <row r="3" spans="2:31">
      <c r="B3" s="28" t="s">
        <v>25</v>
      </c>
      <c r="C3" s="28" t="s">
        <v>26</v>
      </c>
      <c r="D3" s="29" t="s">
        <v>27</v>
      </c>
      <c r="E3" s="30"/>
      <c r="F3" s="30"/>
      <c r="G3" s="31"/>
      <c r="H3" s="28" t="s">
        <v>28</v>
      </c>
      <c r="I3" s="32" t="s">
        <v>29</v>
      </c>
      <c r="J3" s="33"/>
      <c r="K3" s="33"/>
      <c r="L3" s="34"/>
      <c r="M3" s="32" t="s">
        <v>30</v>
      </c>
      <c r="N3" s="33"/>
      <c r="O3" s="33"/>
      <c r="P3" s="33"/>
      <c r="Q3" s="33"/>
      <c r="R3" s="33"/>
      <c r="S3" s="33"/>
      <c r="T3" s="33"/>
      <c r="U3" s="33"/>
      <c r="V3" s="34"/>
      <c r="W3" s="28"/>
      <c r="X3" s="28" t="s">
        <v>31</v>
      </c>
      <c r="Y3" s="32" t="s">
        <v>32</v>
      </c>
      <c r="Z3" s="33"/>
      <c r="AA3" s="34"/>
      <c r="AB3" s="32"/>
      <c r="AC3" s="12"/>
    </row>
    <row r="4" spans="2:31">
      <c r="B4" s="28"/>
      <c r="C4" s="28" t="s">
        <v>33</v>
      </c>
      <c r="D4" s="32" t="s">
        <v>34</v>
      </c>
      <c r="E4" s="33"/>
      <c r="F4" s="33"/>
      <c r="G4" s="34"/>
      <c r="H4" s="35" t="s">
        <v>35</v>
      </c>
      <c r="I4" s="32" t="s">
        <v>36</v>
      </c>
      <c r="J4" s="33"/>
      <c r="K4" s="33"/>
      <c r="L4" s="34"/>
      <c r="M4" s="28" t="s">
        <v>37</v>
      </c>
      <c r="N4" s="28" t="s">
        <v>38</v>
      </c>
      <c r="O4" s="28" t="s">
        <v>39</v>
      </c>
      <c r="P4" s="28" t="s">
        <v>40</v>
      </c>
      <c r="Q4" s="28" t="s">
        <v>41</v>
      </c>
      <c r="R4" s="28" t="s">
        <v>42</v>
      </c>
      <c r="S4" s="28" t="s">
        <v>43</v>
      </c>
      <c r="T4" s="28" t="s">
        <v>44</v>
      </c>
      <c r="U4" s="28" t="s">
        <v>45</v>
      </c>
      <c r="V4" s="28"/>
      <c r="W4" s="28"/>
      <c r="X4" s="28" t="s">
        <v>46</v>
      </c>
      <c r="Y4" s="32" t="s">
        <v>47</v>
      </c>
      <c r="Z4" s="33"/>
      <c r="AA4" s="33"/>
      <c r="AB4" s="33"/>
      <c r="AC4" s="12"/>
    </row>
    <row r="5" ht="28.5" customHeight="1" spans="2:31">
      <c r="B5" s="28"/>
      <c r="C5" s="28" t="s">
        <v>48</v>
      </c>
      <c r="D5" s="36" t="s">
        <v>49</v>
      </c>
      <c r="E5" s="37" t="s">
        <v>50</v>
      </c>
      <c r="F5" s="37" t="s">
        <v>51</v>
      </c>
      <c r="G5" s="37"/>
      <c r="H5" s="28" t="s">
        <v>52</v>
      </c>
      <c r="I5" s="28" t="s">
        <v>52</v>
      </c>
      <c r="J5" s="28" t="s">
        <v>53</v>
      </c>
      <c r="K5" s="28" t="s">
        <v>54</v>
      </c>
      <c r="L5" s="28" t="s">
        <v>55</v>
      </c>
      <c r="M5" s="28" t="s">
        <v>56</v>
      </c>
      <c r="N5" s="28" t="s">
        <v>57</v>
      </c>
      <c r="O5" s="28" t="s">
        <v>58</v>
      </c>
      <c r="P5" s="28" t="s">
        <v>59</v>
      </c>
      <c r="Q5" s="28" t="s">
        <v>60</v>
      </c>
      <c r="R5" s="28" t="s">
        <v>61</v>
      </c>
      <c r="S5" s="28" t="s">
        <v>62</v>
      </c>
      <c r="T5" s="28" t="s">
        <v>63</v>
      </c>
      <c r="U5" s="28" t="s">
        <v>64</v>
      </c>
      <c r="V5" s="28" t="s">
        <v>51</v>
      </c>
      <c r="W5" s="28"/>
      <c r="X5" s="28" t="s">
        <v>65</v>
      </c>
      <c r="Y5" s="28" t="s">
        <v>66</v>
      </c>
      <c r="Z5" s="28" t="s">
        <v>67</v>
      </c>
      <c r="AA5" s="32" t="s">
        <v>51</v>
      </c>
      <c r="AB5" s="38" t="s">
        <v>68</v>
      </c>
    </row>
    <row r="6" spans="2:31">
      <c r="B6" s="38">
        <v>1</v>
      </c>
      <c r="C6" s="39">
        <v>2</v>
      </c>
      <c r="D6" s="38">
        <v>2</v>
      </c>
      <c r="E6" s="38">
        <v>2</v>
      </c>
      <c r="F6" s="38">
        <v>4</v>
      </c>
      <c r="G6" s="39">
        <v>2</v>
      </c>
      <c r="H6" s="39">
        <v>2</v>
      </c>
      <c r="I6" s="38">
        <v>5.5</v>
      </c>
      <c r="J6" s="40">
        <v>0.416666666666667</v>
      </c>
      <c r="K6" s="40">
        <v>0.25</v>
      </c>
      <c r="L6" s="39">
        <v>3</v>
      </c>
      <c r="M6" s="38">
        <v>2</v>
      </c>
      <c r="N6" s="38">
        <v>1</v>
      </c>
      <c r="O6" s="38">
        <v>0</v>
      </c>
      <c r="P6" s="38">
        <v>1</v>
      </c>
      <c r="Q6" s="38">
        <v>1</v>
      </c>
      <c r="R6" s="38">
        <v>2</v>
      </c>
      <c r="S6" s="38">
        <v>1</v>
      </c>
      <c r="T6" s="38">
        <v>1</v>
      </c>
      <c r="U6" s="38">
        <v>1</v>
      </c>
      <c r="V6" s="38">
        <v>10</v>
      </c>
      <c r="W6" s="39">
        <v>2</v>
      </c>
      <c r="X6" s="39">
        <v>1</v>
      </c>
      <c r="Y6" s="38">
        <v>2</v>
      </c>
      <c r="Z6" s="38">
        <v>2</v>
      </c>
      <c r="AA6" s="41">
        <v>2</v>
      </c>
      <c r="AB6" s="38">
        <f t="shared" ref="AB6:AB15" si="0">SUM(D17:J17)</f>
        <v>14</v>
      </c>
      <c r="AE6"/>
    </row>
    <row r="7" spans="2:31">
      <c r="B7" s="38">
        <v>2</v>
      </c>
      <c r="C7" s="39">
        <v>1</v>
      </c>
      <c r="D7" s="38">
        <v>1</v>
      </c>
      <c r="E7" s="38">
        <v>1</v>
      </c>
      <c r="F7" s="38">
        <v>2</v>
      </c>
      <c r="G7" s="39">
        <v>1</v>
      </c>
      <c r="H7" s="39">
        <v>1</v>
      </c>
      <c r="I7" s="38">
        <v>6.5</v>
      </c>
      <c r="J7" s="40">
        <v>0.395833333333333</v>
      </c>
      <c r="K7" s="40">
        <v>0.229166666666667</v>
      </c>
      <c r="L7" s="39">
        <v>1</v>
      </c>
      <c r="M7" s="38">
        <v>1</v>
      </c>
      <c r="N7" s="38">
        <v>0</v>
      </c>
      <c r="O7" s="38">
        <v>0</v>
      </c>
      <c r="P7" s="38">
        <v>1</v>
      </c>
      <c r="Q7" s="38">
        <v>0</v>
      </c>
      <c r="R7" s="38">
        <v>1</v>
      </c>
      <c r="S7" s="38">
        <v>0</v>
      </c>
      <c r="T7" s="38">
        <v>0</v>
      </c>
      <c r="U7" s="38">
        <v>0</v>
      </c>
      <c r="V7" s="38">
        <v>3</v>
      </c>
      <c r="W7" s="39">
        <v>1</v>
      </c>
      <c r="X7" s="39">
        <v>0</v>
      </c>
      <c r="Y7" s="38">
        <v>1</v>
      </c>
      <c r="Z7" s="38">
        <v>1</v>
      </c>
      <c r="AA7" s="41">
        <v>1</v>
      </c>
      <c r="AB7" s="38">
        <f t="shared" si="0"/>
        <v>6</v>
      </c>
      <c r="AE7"/>
    </row>
    <row r="8" spans="2:31">
      <c r="B8" s="38">
        <v>3</v>
      </c>
      <c r="C8" s="39">
        <v>3</v>
      </c>
      <c r="D8" s="38">
        <v>3</v>
      </c>
      <c r="E8" s="38">
        <v>3</v>
      </c>
      <c r="F8" s="38">
        <v>6</v>
      </c>
      <c r="G8" s="39">
        <v>3</v>
      </c>
      <c r="H8" s="39">
        <v>3</v>
      </c>
      <c r="I8" s="38">
        <v>4.5</v>
      </c>
      <c r="J8" s="40">
        <v>0.458333333333333</v>
      </c>
      <c r="K8" s="40">
        <v>0.270833333333333</v>
      </c>
      <c r="L8" s="39">
        <v>3</v>
      </c>
      <c r="M8" s="38">
        <v>3</v>
      </c>
      <c r="N8" s="38">
        <v>2</v>
      </c>
      <c r="O8" s="38">
        <v>1</v>
      </c>
      <c r="P8" s="38">
        <v>2</v>
      </c>
      <c r="Q8" s="38">
        <v>2</v>
      </c>
      <c r="R8" s="38">
        <v>3</v>
      </c>
      <c r="S8" s="38">
        <v>2</v>
      </c>
      <c r="T8" s="38">
        <v>1</v>
      </c>
      <c r="U8" s="38">
        <v>1</v>
      </c>
      <c r="V8" s="38">
        <v>17</v>
      </c>
      <c r="W8" s="39">
        <v>2</v>
      </c>
      <c r="X8" s="39">
        <v>2</v>
      </c>
      <c r="Y8" s="38">
        <v>3</v>
      </c>
      <c r="Z8" s="38">
        <v>3</v>
      </c>
      <c r="AA8" s="41">
        <v>2</v>
      </c>
      <c r="AB8" s="38">
        <f t="shared" si="0"/>
        <v>18</v>
      </c>
      <c r="AE8"/>
    </row>
    <row r="9" spans="2:31">
      <c r="B9" s="38">
        <v>4</v>
      </c>
      <c r="C9" s="39">
        <v>2</v>
      </c>
      <c r="D9" s="38">
        <v>1</v>
      </c>
      <c r="E9" s="38">
        <v>2</v>
      </c>
      <c r="F9" s="38">
        <v>3</v>
      </c>
      <c r="G9" s="39">
        <v>2</v>
      </c>
      <c r="H9" s="39">
        <v>2</v>
      </c>
      <c r="I9" s="38">
        <v>6</v>
      </c>
      <c r="J9" s="40">
        <v>0.4375</v>
      </c>
      <c r="K9" s="40">
        <v>0.25</v>
      </c>
      <c r="L9" s="39">
        <v>2</v>
      </c>
      <c r="M9" s="38">
        <v>2</v>
      </c>
      <c r="N9" s="38">
        <v>1</v>
      </c>
      <c r="O9" s="38">
        <v>0</v>
      </c>
      <c r="P9" s="38">
        <v>1</v>
      </c>
      <c r="Q9" s="38">
        <v>1</v>
      </c>
      <c r="R9" s="38">
        <v>2</v>
      </c>
      <c r="S9" s="38">
        <v>1</v>
      </c>
      <c r="T9" s="38">
        <v>0</v>
      </c>
      <c r="U9" s="38">
        <v>0</v>
      </c>
      <c r="V9" s="38">
        <v>8</v>
      </c>
      <c r="W9" s="39">
        <v>1</v>
      </c>
      <c r="X9" s="39">
        <v>0</v>
      </c>
      <c r="Y9" s="38">
        <v>1</v>
      </c>
      <c r="Z9" s="38">
        <v>1</v>
      </c>
      <c r="AA9" s="41">
        <v>1</v>
      </c>
      <c r="AB9" s="38">
        <f t="shared" si="0"/>
        <v>10</v>
      </c>
      <c r="AE9"/>
    </row>
    <row r="10" spans="2:31">
      <c r="B10" s="38">
        <v>5</v>
      </c>
      <c r="C10" s="39">
        <v>1</v>
      </c>
      <c r="D10" s="38">
        <v>2</v>
      </c>
      <c r="E10" s="38">
        <v>2</v>
      </c>
      <c r="F10" s="38">
        <v>4</v>
      </c>
      <c r="G10" s="39">
        <v>2</v>
      </c>
      <c r="H10" s="39">
        <v>2</v>
      </c>
      <c r="I10" s="38">
        <v>5</v>
      </c>
      <c r="J10" s="40">
        <v>0.416666666666667</v>
      </c>
      <c r="K10" s="40">
        <v>0.229166666666667</v>
      </c>
      <c r="L10" s="39">
        <v>3</v>
      </c>
      <c r="M10" s="38">
        <v>2</v>
      </c>
      <c r="N10" s="38">
        <v>2</v>
      </c>
      <c r="O10" s="38">
        <v>1</v>
      </c>
      <c r="P10" s="38">
        <v>1</v>
      </c>
      <c r="Q10" s="38">
        <v>1</v>
      </c>
      <c r="R10" s="38">
        <v>2</v>
      </c>
      <c r="S10" s="38">
        <v>1</v>
      </c>
      <c r="T10" s="38">
        <v>1</v>
      </c>
      <c r="U10" s="38">
        <v>1</v>
      </c>
      <c r="V10" s="38">
        <v>12</v>
      </c>
      <c r="W10" s="39">
        <v>2</v>
      </c>
      <c r="X10" s="39">
        <v>1</v>
      </c>
      <c r="Y10" s="38">
        <v>2</v>
      </c>
      <c r="Z10" s="38">
        <v>2</v>
      </c>
      <c r="AA10" s="41">
        <v>2</v>
      </c>
      <c r="AB10" s="38">
        <f t="shared" si="0"/>
        <v>13</v>
      </c>
      <c r="AE10"/>
    </row>
    <row r="11" spans="2:31">
      <c r="B11" s="38">
        <v>6</v>
      </c>
      <c r="C11" s="39">
        <v>0</v>
      </c>
      <c r="D11" s="38">
        <v>0</v>
      </c>
      <c r="E11" s="38">
        <v>1</v>
      </c>
      <c r="F11" s="38">
        <v>1</v>
      </c>
      <c r="G11" s="39">
        <v>1</v>
      </c>
      <c r="H11" s="39">
        <v>1</v>
      </c>
      <c r="I11" s="38">
        <v>7</v>
      </c>
      <c r="J11" s="40">
        <v>0.375</v>
      </c>
      <c r="K11" s="40">
        <v>0.208333333333333</v>
      </c>
      <c r="L11" s="39">
        <v>0</v>
      </c>
      <c r="M11" s="38">
        <v>1</v>
      </c>
      <c r="N11" s="38">
        <v>0</v>
      </c>
      <c r="O11" s="38">
        <v>0</v>
      </c>
      <c r="P11" s="38">
        <v>0</v>
      </c>
      <c r="Q11" s="38">
        <v>0</v>
      </c>
      <c r="R11" s="38">
        <v>1</v>
      </c>
      <c r="S11" s="38">
        <v>0</v>
      </c>
      <c r="T11" s="38">
        <v>0</v>
      </c>
      <c r="U11" s="38">
        <v>0</v>
      </c>
      <c r="V11" s="38">
        <v>2</v>
      </c>
      <c r="W11" s="39">
        <v>1</v>
      </c>
      <c r="X11" s="39">
        <v>0</v>
      </c>
      <c r="Y11" s="38">
        <v>1</v>
      </c>
      <c r="Z11" s="38">
        <v>1</v>
      </c>
      <c r="AA11" s="41">
        <v>1</v>
      </c>
      <c r="AB11" s="38">
        <f t="shared" si="0"/>
        <v>4</v>
      </c>
      <c r="AE11"/>
    </row>
    <row r="12" spans="2:31">
      <c r="B12" s="38">
        <v>7</v>
      </c>
      <c r="C12" s="39">
        <v>2</v>
      </c>
      <c r="D12" s="38">
        <v>3</v>
      </c>
      <c r="E12" s="38">
        <v>3</v>
      </c>
      <c r="F12" s="38">
        <v>6</v>
      </c>
      <c r="G12" s="39">
        <v>3</v>
      </c>
      <c r="H12" s="39">
        <v>3</v>
      </c>
      <c r="I12" s="38">
        <v>4</v>
      </c>
      <c r="J12" s="40">
        <v>0.479166666666667</v>
      </c>
      <c r="K12" s="40">
        <v>0.291666666666667</v>
      </c>
      <c r="L12" s="39">
        <v>3</v>
      </c>
      <c r="M12" s="38">
        <v>3</v>
      </c>
      <c r="N12" s="38">
        <v>3</v>
      </c>
      <c r="O12" s="38">
        <v>2</v>
      </c>
      <c r="P12" s="38">
        <v>2</v>
      </c>
      <c r="Q12" s="38">
        <v>2</v>
      </c>
      <c r="R12" s="38">
        <v>3</v>
      </c>
      <c r="S12" s="38">
        <v>2</v>
      </c>
      <c r="T12" s="38">
        <v>2</v>
      </c>
      <c r="U12" s="38">
        <v>1</v>
      </c>
      <c r="V12" s="38">
        <v>20</v>
      </c>
      <c r="W12" s="39">
        <v>3</v>
      </c>
      <c r="X12" s="39">
        <v>2</v>
      </c>
      <c r="Y12" s="38">
        <v>3</v>
      </c>
      <c r="Z12" s="38">
        <v>3</v>
      </c>
      <c r="AA12" s="41">
        <v>3</v>
      </c>
      <c r="AB12" s="38">
        <f t="shared" si="0"/>
        <v>19</v>
      </c>
      <c r="AE12"/>
    </row>
    <row r="13" spans="2:31">
      <c r="B13" s="38">
        <v>8</v>
      </c>
      <c r="C13" s="39">
        <v>1</v>
      </c>
      <c r="D13" s="38">
        <v>1</v>
      </c>
      <c r="E13" s="38">
        <v>1</v>
      </c>
      <c r="F13" s="38">
        <v>2</v>
      </c>
      <c r="G13" s="39">
        <v>1</v>
      </c>
      <c r="H13" s="39">
        <v>1</v>
      </c>
      <c r="I13" s="38">
        <v>6.5</v>
      </c>
      <c r="J13" s="40">
        <v>0.416666666666667</v>
      </c>
      <c r="K13" s="40">
        <v>0.25</v>
      </c>
      <c r="L13" s="39">
        <v>1</v>
      </c>
      <c r="M13" s="38">
        <v>1</v>
      </c>
      <c r="N13" s="38">
        <v>0</v>
      </c>
      <c r="O13" s="38">
        <v>0</v>
      </c>
      <c r="P13" s="38">
        <v>1</v>
      </c>
      <c r="Q13" s="38">
        <v>0</v>
      </c>
      <c r="R13" s="38">
        <v>1</v>
      </c>
      <c r="S13" s="38">
        <v>0</v>
      </c>
      <c r="T13" s="38">
        <v>0</v>
      </c>
      <c r="U13" s="38">
        <v>0</v>
      </c>
      <c r="V13" s="38">
        <v>3</v>
      </c>
      <c r="W13" s="39">
        <v>1</v>
      </c>
      <c r="X13" s="39">
        <v>0</v>
      </c>
      <c r="Y13" s="38">
        <v>1</v>
      </c>
      <c r="Z13" s="38">
        <v>1</v>
      </c>
      <c r="AA13" s="41">
        <v>1</v>
      </c>
      <c r="AB13" s="38">
        <f t="shared" si="0"/>
        <v>6</v>
      </c>
      <c r="AE13"/>
    </row>
    <row r="14" spans="2:31">
      <c r="B14" s="38">
        <v>9</v>
      </c>
      <c r="C14" s="39">
        <v>3</v>
      </c>
      <c r="D14" s="38">
        <v>2</v>
      </c>
      <c r="E14" s="38">
        <v>3</v>
      </c>
      <c r="F14" s="38">
        <v>5</v>
      </c>
      <c r="G14" s="39">
        <v>3</v>
      </c>
      <c r="H14" s="39">
        <v>2</v>
      </c>
      <c r="I14" s="38">
        <v>5</v>
      </c>
      <c r="J14" s="40">
        <v>0.458333333333333</v>
      </c>
      <c r="K14" s="40">
        <v>0.270833333333333</v>
      </c>
      <c r="L14" s="39">
        <v>2</v>
      </c>
      <c r="M14" s="38">
        <v>3</v>
      </c>
      <c r="N14" s="38">
        <v>2</v>
      </c>
      <c r="O14" s="38">
        <v>1</v>
      </c>
      <c r="P14" s="38">
        <v>2</v>
      </c>
      <c r="Q14" s="38">
        <v>2</v>
      </c>
      <c r="R14" s="38">
        <v>3</v>
      </c>
      <c r="S14" s="38">
        <v>2</v>
      </c>
      <c r="T14" s="38">
        <v>1</v>
      </c>
      <c r="U14" s="38">
        <v>1</v>
      </c>
      <c r="V14" s="38">
        <v>17</v>
      </c>
      <c r="W14" s="39">
        <v>2</v>
      </c>
      <c r="X14" s="39">
        <v>1</v>
      </c>
      <c r="Y14" s="38">
        <v>2</v>
      </c>
      <c r="Z14" s="38">
        <v>2</v>
      </c>
      <c r="AA14" s="41">
        <v>2</v>
      </c>
      <c r="AB14" s="38">
        <f t="shared" si="0"/>
        <v>15</v>
      </c>
      <c r="AE14"/>
    </row>
    <row r="15" spans="2:31">
      <c r="B15" s="38">
        <v>10</v>
      </c>
      <c r="C15" s="39">
        <v>2</v>
      </c>
      <c r="D15" s="38">
        <v>2</v>
      </c>
      <c r="E15" s="38">
        <v>2</v>
      </c>
      <c r="F15" s="38">
        <v>4</v>
      </c>
      <c r="G15" s="39">
        <v>2</v>
      </c>
      <c r="H15" s="39">
        <v>2</v>
      </c>
      <c r="I15" s="38">
        <v>5.5</v>
      </c>
      <c r="J15" s="40">
        <v>0.4375</v>
      </c>
      <c r="K15" s="40">
        <v>0.25</v>
      </c>
      <c r="L15" s="39">
        <v>1</v>
      </c>
      <c r="M15" s="38">
        <v>2</v>
      </c>
      <c r="N15" s="38">
        <v>1</v>
      </c>
      <c r="O15" s="38">
        <v>0</v>
      </c>
      <c r="P15" s="38">
        <v>1</v>
      </c>
      <c r="Q15" s="38">
        <v>1</v>
      </c>
      <c r="R15" s="38">
        <v>2</v>
      </c>
      <c r="S15" s="38">
        <v>1</v>
      </c>
      <c r="T15" s="38">
        <v>1</v>
      </c>
      <c r="U15" s="38">
        <v>1</v>
      </c>
      <c r="V15" s="38">
        <v>10</v>
      </c>
      <c r="W15" s="39">
        <v>2</v>
      </c>
      <c r="X15" s="39">
        <v>1</v>
      </c>
      <c r="Y15" s="38">
        <v>2</v>
      </c>
      <c r="Z15" s="38">
        <v>2</v>
      </c>
      <c r="AA15" s="41">
        <v>2</v>
      </c>
      <c r="AB15" s="38">
        <f t="shared" si="0"/>
        <v>12</v>
      </c>
      <c r="AE15"/>
    </row>
    <row r="16" spans="2:31">
      <c r="B16" s="12"/>
      <c r="C16" s="42"/>
      <c r="D16" s="12"/>
      <c r="E16" s="16"/>
      <c r="F16" s="12"/>
      <c r="G16" s="12"/>
      <c r="H16" s="42"/>
      <c r="I16" s="12"/>
      <c r="J16" s="12"/>
      <c r="K16" s="12"/>
      <c r="L16" s="12"/>
      <c r="V16" s="12"/>
      <c r="W16" s="12"/>
      <c r="X16" s="12"/>
      <c r="Y16" s="12"/>
      <c r="Z16" s="12"/>
      <c r="AA16" s="16"/>
      <c r="AC16" s="12"/>
    </row>
    <row r="17" spans="2:27">
      <c r="B17" s="12"/>
      <c r="C17" s="12"/>
      <c r="D17" s="42">
        <v>2</v>
      </c>
      <c r="E17" s="42">
        <v>2</v>
      </c>
      <c r="F17" s="42">
        <v>3</v>
      </c>
      <c r="G17" s="42">
        <v>2</v>
      </c>
      <c r="H17" s="43">
        <v>2</v>
      </c>
      <c r="I17" s="42">
        <v>2</v>
      </c>
      <c r="J17" s="42">
        <v>1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6"/>
    </row>
    <row r="18" spans="2:27">
      <c r="B18" s="12"/>
      <c r="C18" s="12"/>
      <c r="D18" s="42">
        <v>1</v>
      </c>
      <c r="E18" s="42">
        <v>1</v>
      </c>
      <c r="F18" s="42">
        <v>1</v>
      </c>
      <c r="G18" s="42">
        <v>1</v>
      </c>
      <c r="H18" s="43">
        <v>1</v>
      </c>
      <c r="I18" s="42">
        <v>1</v>
      </c>
      <c r="J18" s="42">
        <v>0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6"/>
    </row>
    <row r="19" spans="2:27">
      <c r="B19" s="12"/>
      <c r="C19" s="12"/>
      <c r="D19" s="42">
        <v>3</v>
      </c>
      <c r="E19" s="42">
        <v>3</v>
      </c>
      <c r="F19" s="42">
        <v>3</v>
      </c>
      <c r="G19" s="42">
        <v>2</v>
      </c>
      <c r="H19" s="43">
        <v>2</v>
      </c>
      <c r="I19" s="42">
        <v>3</v>
      </c>
      <c r="J19" s="42">
        <v>2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6"/>
    </row>
    <row r="20" spans="2:27">
      <c r="B20" s="12"/>
      <c r="C20" s="12"/>
      <c r="D20" s="42">
        <v>2</v>
      </c>
      <c r="E20" s="42">
        <v>2</v>
      </c>
      <c r="F20" s="42">
        <v>2</v>
      </c>
      <c r="G20" s="42">
        <v>1</v>
      </c>
      <c r="H20" s="43">
        <v>1</v>
      </c>
      <c r="I20" s="42">
        <v>2</v>
      </c>
      <c r="J20" s="42">
        <v>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6"/>
    </row>
    <row r="21" spans="2:27">
      <c r="B21" s="12"/>
      <c r="C21" s="12"/>
      <c r="D21" s="42">
        <v>1</v>
      </c>
      <c r="E21" s="42">
        <v>2</v>
      </c>
      <c r="F21" s="42">
        <v>3</v>
      </c>
      <c r="G21" s="42">
        <v>2</v>
      </c>
      <c r="H21" s="43">
        <v>2</v>
      </c>
      <c r="I21" s="42">
        <v>2</v>
      </c>
      <c r="J21" s="42">
        <v>1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6"/>
    </row>
    <row r="22" spans="2:27">
      <c r="B22" s="12"/>
      <c r="C22" s="12"/>
      <c r="D22" s="42">
        <v>0</v>
      </c>
      <c r="E22" s="42">
        <v>1</v>
      </c>
      <c r="F22" s="42">
        <v>0</v>
      </c>
      <c r="G22" s="42">
        <v>1</v>
      </c>
      <c r="H22" s="43">
        <v>1</v>
      </c>
      <c r="I22" s="42">
        <v>1</v>
      </c>
      <c r="J22" s="42">
        <v>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6"/>
    </row>
    <row r="23" spans="2:27">
      <c r="B23" s="12"/>
      <c r="C23" s="12"/>
      <c r="D23" s="42">
        <v>2</v>
      </c>
      <c r="E23" s="42">
        <v>3</v>
      </c>
      <c r="F23" s="42">
        <v>3</v>
      </c>
      <c r="G23" s="42">
        <v>3</v>
      </c>
      <c r="H23" s="43">
        <v>3</v>
      </c>
      <c r="I23" s="42">
        <v>3</v>
      </c>
      <c r="J23" s="42">
        <v>2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6"/>
    </row>
    <row r="24" spans="2:27">
      <c r="B24" s="12"/>
      <c r="C24" s="12"/>
      <c r="D24" s="42">
        <v>1</v>
      </c>
      <c r="E24" s="42">
        <v>1</v>
      </c>
      <c r="F24" s="42">
        <v>1</v>
      </c>
      <c r="G24" s="42">
        <v>1</v>
      </c>
      <c r="H24" s="43">
        <v>1</v>
      </c>
      <c r="I24" s="42">
        <v>1</v>
      </c>
      <c r="J24" s="42">
        <v>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6"/>
    </row>
    <row r="25" spans="2:27">
      <c r="B25" s="12"/>
      <c r="C25" s="12"/>
      <c r="D25" s="42">
        <v>3</v>
      </c>
      <c r="E25" s="42">
        <v>2</v>
      </c>
      <c r="F25" s="42">
        <v>2</v>
      </c>
      <c r="G25" s="42">
        <v>2</v>
      </c>
      <c r="H25" s="43">
        <v>2</v>
      </c>
      <c r="I25" s="42">
        <v>3</v>
      </c>
      <c r="J25" s="42">
        <v>1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6"/>
    </row>
    <row r="26" spans="2:27">
      <c r="B26" s="12"/>
      <c r="C26" s="12"/>
      <c r="D26" s="42">
        <v>2</v>
      </c>
      <c r="E26" s="42">
        <v>2</v>
      </c>
      <c r="F26" s="42">
        <v>1</v>
      </c>
      <c r="G26" s="42">
        <v>2</v>
      </c>
      <c r="H26" s="43">
        <v>2</v>
      </c>
      <c r="I26" s="42">
        <v>2</v>
      </c>
      <c r="J26" s="42">
        <v>1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6"/>
    </row>
    <row r="27" spans="2:27">
      <c r="B27" s="12"/>
      <c r="C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6"/>
    </row>
    <row r="28" spans="2:27">
      <c r="B28" s="12"/>
      <c r="C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6"/>
    </row>
    <row r="29" spans="2:27">
      <c r="B29" s="12"/>
      <c r="C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6"/>
    </row>
    <row r="30" spans="2:27">
      <c r="B30" s="12"/>
      <c r="C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6"/>
    </row>
    <row r="31" spans="2:27">
      <c r="B31" s="12"/>
      <c r="C31" s="12"/>
      <c r="D31" s="42"/>
      <c r="E31" s="42"/>
      <c r="F31" s="12"/>
      <c r="G31" s="12"/>
      <c r="H31" s="12"/>
      <c r="I31" s="12"/>
      <c r="J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6"/>
    </row>
    <row r="32" spans="2:27">
      <c r="B32" s="12"/>
      <c r="C32" s="12"/>
      <c r="D32" s="12"/>
      <c r="E32" s="4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6"/>
    </row>
    <row r="33" spans="2:27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6"/>
    </row>
    <row r="34" spans="2:27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6"/>
    </row>
    <row r="35" spans="2:27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6"/>
    </row>
    <row r="36" spans="2:27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6"/>
    </row>
    <row r="37" spans="2:27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6"/>
    </row>
    <row r="38" spans="2:27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6"/>
    </row>
    <row r="39" spans="2:27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6"/>
    </row>
    <row r="40" spans="2:27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6"/>
    </row>
    <row r="41" spans="2:27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6"/>
    </row>
    <row r="42" spans="2:27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6"/>
    </row>
    <row r="43" spans="2:27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6"/>
    </row>
    <row r="44" spans="2:27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6"/>
    </row>
    <row r="45" spans="2:27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6"/>
    </row>
    <row r="46" spans="2:27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6"/>
    </row>
    <row r="47" spans="2:27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6"/>
    </row>
    <row r="48" spans="2:27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6"/>
    </row>
    <row r="49" spans="2:27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6"/>
    </row>
    <row r="50" spans="2:27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6"/>
    </row>
    <row r="51" spans="2:27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6"/>
    </row>
    <row r="52" spans="2:27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6"/>
    </row>
    <row r="53" spans="2:27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6"/>
    </row>
    <row r="54" spans="2:2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6"/>
    </row>
    <row r="55" spans="2:2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6"/>
    </row>
    <row r="56" spans="2:2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6"/>
    </row>
    <row r="57" spans="2:2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6"/>
    </row>
    <row r="58" spans="2:2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6"/>
    </row>
    <row r="59" spans="2:2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6"/>
    </row>
    <row r="60" spans="2:2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6"/>
    </row>
    <row r="61" spans="2:2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6"/>
    </row>
    <row r="62" spans="2:2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6"/>
    </row>
    <row r="63" spans="2:2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6"/>
    </row>
    <row r="64" spans="2:2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6"/>
    </row>
    <row r="65" spans="2:2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6"/>
    </row>
    <row r="66" spans="2:2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6"/>
    </row>
    <row r="67" spans="2:2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6"/>
    </row>
    <row r="68" spans="2:2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6"/>
    </row>
    <row r="69" spans="2:2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6"/>
    </row>
    <row r="70" spans="2:2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6"/>
    </row>
    <row r="71" spans="2:2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6"/>
    </row>
    <row r="72" spans="2:2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6"/>
    </row>
    <row r="73" spans="2:2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6"/>
    </row>
    <row r="74" spans="2:2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6"/>
    </row>
    <row r="75" spans="2:2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6"/>
    </row>
    <row r="76" spans="2:2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6"/>
    </row>
    <row r="77" spans="2:2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6"/>
    </row>
    <row r="78" spans="2:2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6"/>
    </row>
    <row r="79" spans="2:2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6"/>
    </row>
    <row r="80" spans="2:2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6"/>
    </row>
    <row r="81" spans="2:2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6"/>
    </row>
    <row r="82" spans="2:2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6"/>
    </row>
    <row r="83" spans="2:2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6"/>
    </row>
    <row r="84" spans="2:2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6"/>
    </row>
    <row r="85" spans="2:2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6"/>
    </row>
    <row r="86" spans="2:2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6"/>
    </row>
    <row r="87" spans="2:2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6"/>
    </row>
    <row r="88" spans="2:2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6"/>
    </row>
    <row r="89" spans="2:2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6"/>
    </row>
    <row r="90" spans="2:2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6"/>
    </row>
    <row r="91" spans="2:2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6"/>
    </row>
    <row r="92" spans="2:2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6"/>
    </row>
    <row r="93" spans="2:2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6"/>
    </row>
    <row r="94" spans="2:2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6"/>
    </row>
    <row r="95" spans="2:2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6"/>
    </row>
    <row r="96" spans="2:2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6"/>
    </row>
    <row r="97" spans="2:2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6"/>
    </row>
    <row r="98" spans="2:2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6"/>
    </row>
    <row r="99" spans="2:2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6"/>
    </row>
    <row r="100" spans="2:2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6"/>
    </row>
  </sheetData>
  <mergeCells count="7">
    <mergeCell ref="D3:G3"/>
    <mergeCell ref="I3:L3"/>
    <mergeCell ref="M3:V3"/>
    <mergeCell ref="Y3:AA3"/>
    <mergeCell ref="D4:G4"/>
    <mergeCell ref="I4:L4"/>
    <mergeCell ref="Y4:AA4"/>
  </mergeCells>
  <pageMargins left="0.25" right="0.25" top="0.75" bottom="0.75" header="0.3" footer="0.3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W111"/>
  <sheetViews>
    <sheetView zoomScale="101" zoomScaleNormal="101" topLeftCell="M1" workbookViewId="0">
      <selection activeCell="R17" sqref="R17"/>
    </sheetView>
  </sheetViews>
  <sheetFormatPr defaultColWidth="9" defaultRowHeight="13.5"/>
  <cols>
    <col min="2" max="2" width="6.425" customWidth="1"/>
    <col min="3" max="3" width="6.28333333333333" customWidth="1"/>
    <col min="4" max="4" width="9" customWidth="1"/>
    <col min="5" max="5" width="10" customWidth="1"/>
    <col min="6" max="6" width="22.8583333333333" customWidth="1"/>
    <col min="7" max="7" width="19.2833333333333" customWidth="1"/>
    <col min="8" max="8" width="25.2833333333333" style="7" customWidth="1"/>
    <col min="9" max="9" width="14.8583333333333" customWidth="1"/>
    <col min="10" max="11" width="14.425" customWidth="1"/>
    <col min="12" max="12" width="15.2833333333333" customWidth="1"/>
    <col min="13" max="13" width="15" customWidth="1"/>
    <col min="14" max="14" width="9.28333333333333" customWidth="1"/>
    <col min="15" max="15" width="16.2833333333333" customWidth="1"/>
    <col min="16" max="16" width="14.425" customWidth="1"/>
    <col min="17" max="17" width="10.8583333333333" customWidth="1"/>
    <col min="18" max="18" width="16" customWidth="1"/>
    <col min="19" max="19" width="24" customWidth="1"/>
    <col min="20" max="20" width="16.2833333333333" customWidth="1"/>
    <col min="21" max="21" width="13.1416666666667" customWidth="1"/>
    <col min="22" max="22" width="16.2833333333333" customWidth="1"/>
  </cols>
  <sheetData>
    <row r="1" ht="14.25" spans="2:23">
      <c r="I1" t="s">
        <v>69</v>
      </c>
    </row>
    <row r="2" ht="14.25" spans="2:23">
      <c r="N2" s="4"/>
    </row>
    <row r="3" ht="14.25" spans="2:23">
      <c r="B3" s="1" t="s">
        <v>70</v>
      </c>
      <c r="C3" s="2" t="s">
        <v>71</v>
      </c>
      <c r="D3" s="2" t="s">
        <v>72</v>
      </c>
      <c r="E3" s="3" t="s">
        <v>73</v>
      </c>
      <c r="F3" s="2" t="s">
        <v>74</v>
      </c>
      <c r="G3" s="2" t="s">
        <v>75</v>
      </c>
      <c r="H3" s="2" t="s">
        <v>76</v>
      </c>
      <c r="I3" s="4" t="s">
        <v>77</v>
      </c>
      <c r="J3" s="5" t="s">
        <v>78</v>
      </c>
      <c r="K3" s="4" t="s">
        <v>79</v>
      </c>
      <c r="L3" s="4" t="s">
        <v>80</v>
      </c>
      <c r="M3" s="2" t="s">
        <v>81</v>
      </c>
      <c r="N3" s="4" t="s">
        <v>82</v>
      </c>
      <c r="O3" s="4" t="s">
        <v>83</v>
      </c>
      <c r="P3" s="6" t="s">
        <v>84</v>
      </c>
      <c r="Q3" s="4" t="s">
        <v>85</v>
      </c>
      <c r="R3" s="4"/>
      <c r="S3" s="4"/>
      <c r="T3" s="8"/>
      <c r="U3" s="9"/>
    </row>
    <row r="4" spans="2:23">
      <c r="B4" s="10" t="s">
        <v>86</v>
      </c>
      <c r="C4" s="10" t="s">
        <v>87</v>
      </c>
      <c r="D4" s="10" t="s">
        <v>88</v>
      </c>
      <c r="E4" s="7" t="s">
        <v>89</v>
      </c>
      <c r="F4" s="10" t="s">
        <v>90</v>
      </c>
      <c r="G4" s="7" t="s">
        <v>91</v>
      </c>
      <c r="H4" s="7" t="s">
        <v>92</v>
      </c>
      <c r="I4" s="11" t="s">
        <v>93</v>
      </c>
      <c r="J4" s="12" t="s">
        <v>94</v>
      </c>
      <c r="K4" s="12" t="s">
        <v>95</v>
      </c>
      <c r="L4" s="13" t="s">
        <v>96</v>
      </c>
      <c r="M4" s="10" t="s">
        <v>97</v>
      </c>
      <c r="N4" s="13" t="s">
        <v>98</v>
      </c>
      <c r="O4" s="10" t="s">
        <v>99</v>
      </c>
      <c r="P4" s="14" t="s">
        <v>100</v>
      </c>
      <c r="Q4" t="s">
        <v>101</v>
      </c>
      <c r="R4" t="s">
        <v>102</v>
      </c>
      <c r="S4" s="14"/>
      <c r="T4" s="14"/>
      <c r="U4" s="15"/>
    </row>
    <row r="5" spans="2:23">
      <c r="B5" s="12">
        <v>1</v>
      </c>
      <c r="C5" s="12">
        <v>2</v>
      </c>
      <c r="D5" s="12">
        <v>1</v>
      </c>
      <c r="E5" s="12">
        <v>1</v>
      </c>
      <c r="F5" s="12">
        <v>0</v>
      </c>
      <c r="G5" s="12">
        <v>6</v>
      </c>
      <c r="H5" s="12">
        <v>2</v>
      </c>
      <c r="I5" s="16">
        <v>2</v>
      </c>
      <c r="J5" s="12">
        <v>2</v>
      </c>
      <c r="K5" s="12">
        <v>2</v>
      </c>
      <c r="L5" s="17">
        <v>0</v>
      </c>
      <c r="M5" s="12">
        <v>5</v>
      </c>
      <c r="N5" s="17">
        <v>2</v>
      </c>
      <c r="O5" s="12">
        <v>1</v>
      </c>
      <c r="P5" s="12">
        <v>4</v>
      </c>
      <c r="Q5">
        <v>130</v>
      </c>
      <c r="R5">
        <v>85</v>
      </c>
      <c r="S5" s="15"/>
      <c r="T5" s="15"/>
      <c r="U5" s="15"/>
    </row>
    <row r="6" spans="2:23">
      <c r="B6" s="12">
        <v>2</v>
      </c>
      <c r="C6" s="12">
        <v>3</v>
      </c>
      <c r="D6" s="12">
        <v>2</v>
      </c>
      <c r="E6" s="12">
        <v>1</v>
      </c>
      <c r="F6" s="12">
        <v>2</v>
      </c>
      <c r="G6" s="12">
        <v>3</v>
      </c>
      <c r="H6" s="12">
        <v>1</v>
      </c>
      <c r="I6" s="16">
        <v>5</v>
      </c>
      <c r="J6" s="12">
        <v>1</v>
      </c>
      <c r="K6" s="12">
        <v>2</v>
      </c>
      <c r="L6" s="17">
        <v>1</v>
      </c>
      <c r="M6" s="12">
        <v>8</v>
      </c>
      <c r="N6" s="17">
        <v>1</v>
      </c>
      <c r="O6" s="12">
        <v>1</v>
      </c>
      <c r="P6" s="12">
        <v>8</v>
      </c>
      <c r="Q6">
        <v>140</v>
      </c>
      <c r="R6">
        <v>90</v>
      </c>
      <c r="S6" s="15"/>
      <c r="T6" s="15"/>
      <c r="U6" s="15"/>
    </row>
    <row r="7" spans="2:23">
      <c r="B7" s="12">
        <v>3</v>
      </c>
      <c r="C7" s="12">
        <v>2</v>
      </c>
      <c r="D7" s="12">
        <v>2</v>
      </c>
      <c r="E7" s="12">
        <v>2</v>
      </c>
      <c r="F7" s="12">
        <v>1</v>
      </c>
      <c r="G7" s="12">
        <v>3</v>
      </c>
      <c r="H7" s="12">
        <v>2</v>
      </c>
      <c r="I7" s="16">
        <v>2</v>
      </c>
      <c r="J7" s="12">
        <v>3</v>
      </c>
      <c r="K7" s="12">
        <v>2</v>
      </c>
      <c r="L7" s="17">
        <v>0</v>
      </c>
      <c r="M7" s="12">
        <v>3</v>
      </c>
      <c r="N7" s="17">
        <v>3</v>
      </c>
      <c r="O7" s="12">
        <v>1</v>
      </c>
      <c r="P7" s="12">
        <v>2</v>
      </c>
      <c r="Q7">
        <v>135</v>
      </c>
      <c r="R7">
        <v>88</v>
      </c>
      <c r="S7" s="15"/>
      <c r="T7" s="15"/>
      <c r="U7" s="15"/>
    </row>
    <row r="8" spans="2:23">
      <c r="B8" s="12">
        <v>4</v>
      </c>
      <c r="C8" s="12">
        <v>3</v>
      </c>
      <c r="D8" s="12">
        <v>2</v>
      </c>
      <c r="E8" s="12">
        <v>1</v>
      </c>
      <c r="F8" s="12">
        <v>3</v>
      </c>
      <c r="G8" s="12">
        <v>4</v>
      </c>
      <c r="H8" s="12">
        <v>3</v>
      </c>
      <c r="I8" s="16">
        <v>3</v>
      </c>
      <c r="J8" s="12">
        <v>2</v>
      </c>
      <c r="K8" s="12">
        <v>2</v>
      </c>
      <c r="L8" s="17">
        <v>1</v>
      </c>
      <c r="M8" s="12">
        <v>10</v>
      </c>
      <c r="N8" s="17">
        <v>1</v>
      </c>
      <c r="O8" s="12">
        <v>1</v>
      </c>
      <c r="P8" s="12">
        <v>9</v>
      </c>
      <c r="Q8">
        <v>128</v>
      </c>
      <c r="R8">
        <v>82</v>
      </c>
      <c r="S8" s="15"/>
      <c r="T8" s="15"/>
      <c r="U8" s="15"/>
    </row>
    <row r="9" spans="2:23">
      <c r="B9" s="12">
        <v>5</v>
      </c>
      <c r="C9" s="12">
        <v>2</v>
      </c>
      <c r="D9" s="12">
        <v>2</v>
      </c>
      <c r="E9" s="12">
        <v>1</v>
      </c>
      <c r="F9" s="12">
        <v>0</v>
      </c>
      <c r="G9" s="12">
        <v>6</v>
      </c>
      <c r="H9" s="12">
        <v>1</v>
      </c>
      <c r="I9" s="16">
        <v>5</v>
      </c>
      <c r="J9" s="12">
        <v>1</v>
      </c>
      <c r="K9" s="12">
        <v>2</v>
      </c>
      <c r="L9" s="17">
        <v>0</v>
      </c>
      <c r="M9" s="12">
        <v>6</v>
      </c>
      <c r="N9" s="17">
        <v>2.3</v>
      </c>
      <c r="O9" s="12">
        <v>1</v>
      </c>
      <c r="P9" s="12">
        <v>10</v>
      </c>
      <c r="Q9">
        <v>145</v>
      </c>
      <c r="R9">
        <v>92</v>
      </c>
      <c r="S9" s="15"/>
      <c r="T9" s="15"/>
      <c r="U9" s="15"/>
    </row>
    <row r="10" spans="2:23">
      <c r="B10" s="12">
        <v>6</v>
      </c>
      <c r="C10" s="18">
        <v>2</v>
      </c>
      <c r="D10" s="12">
        <v>1</v>
      </c>
      <c r="E10" s="12">
        <v>1</v>
      </c>
      <c r="F10" s="12">
        <v>2</v>
      </c>
      <c r="G10" s="12">
        <v>3</v>
      </c>
      <c r="H10" s="12">
        <v>3</v>
      </c>
      <c r="I10" s="16">
        <v>3</v>
      </c>
      <c r="J10" s="12">
        <v>3</v>
      </c>
      <c r="K10" s="12">
        <v>2</v>
      </c>
      <c r="L10" s="17">
        <v>2</v>
      </c>
      <c r="M10" s="12">
        <v>5</v>
      </c>
      <c r="N10" s="17">
        <v>1</v>
      </c>
      <c r="O10" s="12">
        <v>1</v>
      </c>
      <c r="P10" s="12">
        <v>3</v>
      </c>
      <c r="Q10">
        <v>125</v>
      </c>
      <c r="R10">
        <v>80</v>
      </c>
      <c r="S10" s="15"/>
      <c r="T10" s="15"/>
      <c r="U10" s="15"/>
    </row>
    <row r="11" spans="2:23">
      <c r="B11" s="12">
        <v>7</v>
      </c>
      <c r="C11" s="12">
        <v>1</v>
      </c>
      <c r="D11" s="12">
        <v>1</v>
      </c>
      <c r="E11" s="12">
        <v>2</v>
      </c>
      <c r="F11" s="12">
        <v>1</v>
      </c>
      <c r="G11" s="12">
        <v>3</v>
      </c>
      <c r="H11" s="12">
        <v>2</v>
      </c>
      <c r="I11" s="16">
        <v>2</v>
      </c>
      <c r="J11" s="12">
        <v>3</v>
      </c>
      <c r="K11" s="12">
        <v>2</v>
      </c>
      <c r="L11" s="17">
        <v>2</v>
      </c>
      <c r="M11" s="12">
        <v>7</v>
      </c>
      <c r="N11" s="17">
        <v>2</v>
      </c>
      <c r="O11" s="12">
        <v>1</v>
      </c>
      <c r="P11" s="12">
        <v>7</v>
      </c>
      <c r="Q11">
        <v>150</v>
      </c>
      <c r="R11">
        <v>95</v>
      </c>
      <c r="S11" s="15"/>
      <c r="T11" s="15"/>
      <c r="U11" s="15"/>
    </row>
    <row r="12" spans="2:23">
      <c r="B12" s="12">
        <v>8</v>
      </c>
      <c r="C12" s="12">
        <v>2</v>
      </c>
      <c r="D12" s="12">
        <v>2</v>
      </c>
      <c r="E12" s="12">
        <v>1</v>
      </c>
      <c r="F12" s="12">
        <v>2</v>
      </c>
      <c r="G12" s="12">
        <v>6</v>
      </c>
      <c r="H12" s="12">
        <v>1</v>
      </c>
      <c r="I12" s="16">
        <v>5</v>
      </c>
      <c r="J12" s="12">
        <v>1</v>
      </c>
      <c r="K12" s="12">
        <v>2</v>
      </c>
      <c r="L12" s="17">
        <v>1</v>
      </c>
      <c r="M12" s="12">
        <v>12</v>
      </c>
      <c r="N12" s="17">
        <v>1</v>
      </c>
      <c r="O12" s="12">
        <v>1</v>
      </c>
      <c r="P12" s="12">
        <v>8</v>
      </c>
      <c r="Q12">
        <v>120</v>
      </c>
      <c r="R12">
        <v>78</v>
      </c>
      <c r="S12" s="15"/>
      <c r="T12" s="15"/>
      <c r="U12" s="15"/>
    </row>
    <row r="13" spans="2:23">
      <c r="B13" s="12">
        <v>9</v>
      </c>
      <c r="C13" s="12">
        <v>3</v>
      </c>
      <c r="D13" s="12">
        <v>2</v>
      </c>
      <c r="E13" s="12">
        <v>2</v>
      </c>
      <c r="F13" s="12">
        <v>1</v>
      </c>
      <c r="G13" s="12">
        <v>1</v>
      </c>
      <c r="H13" s="12">
        <v>3</v>
      </c>
      <c r="I13" s="16">
        <v>3</v>
      </c>
      <c r="J13" s="12">
        <v>2</v>
      </c>
      <c r="K13" s="12">
        <v>2</v>
      </c>
      <c r="L13" s="17">
        <v>0</v>
      </c>
      <c r="M13" s="12">
        <v>9</v>
      </c>
      <c r="N13" s="17">
        <v>2</v>
      </c>
      <c r="O13" s="12">
        <v>1</v>
      </c>
      <c r="P13" s="12">
        <v>5</v>
      </c>
      <c r="Q13">
        <v>138</v>
      </c>
      <c r="R13">
        <v>86</v>
      </c>
      <c r="S13" s="15"/>
      <c r="T13" s="15"/>
      <c r="U13" s="15"/>
    </row>
    <row r="14" spans="2:23">
      <c r="B14" s="12">
        <v>10</v>
      </c>
      <c r="C14" s="12">
        <v>1</v>
      </c>
      <c r="D14" s="12">
        <v>1</v>
      </c>
      <c r="E14" s="12">
        <v>1</v>
      </c>
      <c r="F14" s="12">
        <v>2</v>
      </c>
      <c r="G14" s="12">
        <v>3</v>
      </c>
      <c r="H14" s="12">
        <v>2</v>
      </c>
      <c r="I14" s="16">
        <v>2</v>
      </c>
      <c r="J14" s="12">
        <v>3</v>
      </c>
      <c r="K14" s="12">
        <v>2</v>
      </c>
      <c r="L14" s="17">
        <v>2</v>
      </c>
      <c r="M14" s="12">
        <v>4</v>
      </c>
      <c r="N14" s="17">
        <v>2</v>
      </c>
      <c r="O14" s="12">
        <v>1</v>
      </c>
      <c r="P14" s="12">
        <v>2</v>
      </c>
      <c r="Q14">
        <v>142</v>
      </c>
      <c r="R14">
        <v>89</v>
      </c>
      <c r="S14" s="15"/>
      <c r="T14" s="15"/>
      <c r="U14" s="15"/>
      <c r="W14" t="s">
        <v>103</v>
      </c>
    </row>
    <row r="15" spans="2:23">
      <c r="I15" s="7"/>
      <c r="J15" s="7"/>
      <c r="K15" s="15"/>
    </row>
    <row r="17" ht="15.75" spans="3:22">
      <c r="C17" s="19"/>
      <c r="D17" s="19"/>
      <c r="E17" s="19"/>
      <c r="F17" s="19"/>
    </row>
    <row r="18" spans="3:22">
      <c r="C18" s="20"/>
      <c r="D18" s="20"/>
      <c r="E18" s="20"/>
      <c r="F18" s="20"/>
    </row>
    <row r="19" ht="15.75" customHeight="1" spans="3:22"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</row>
    <row r="20" ht="15.75" customHeight="1" spans="3:22"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1"/>
      <c r="T20" s="21"/>
      <c r="U20" s="21"/>
      <c r="V20" s="21"/>
    </row>
    <row r="21" ht="15.75" customHeight="1" spans="3:22"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ht="15.75" spans="3:22"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ht="31.5" customHeight="1" spans="3:22"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ht="15.75" spans="3:22">
      <c r="O24" s="22"/>
      <c r="P24" s="22"/>
      <c r="Q24" s="22"/>
      <c r="R24" s="22"/>
      <c r="S24" s="22"/>
      <c r="T24" s="22"/>
      <c r="U24" s="22"/>
      <c r="V24" s="22"/>
    </row>
    <row r="25" ht="15.75" spans="3:22">
      <c r="O25" s="22"/>
      <c r="P25" s="22"/>
      <c r="Q25" s="22"/>
      <c r="R25" s="22"/>
      <c r="S25" s="22"/>
      <c r="T25" s="22"/>
      <c r="U25" s="22"/>
      <c r="V25" s="22"/>
    </row>
    <row r="26" ht="31.5" customHeight="1" spans="3:22">
      <c r="O26" s="22"/>
      <c r="P26" s="22"/>
      <c r="Q26" s="22"/>
      <c r="R26" s="22"/>
    </row>
    <row r="27" ht="47.25" customHeight="1"/>
    <row r="29" ht="31.5" customHeight="1"/>
    <row r="30" ht="47.25" customHeight="1"/>
    <row r="31" ht="31.5" customHeight="1"/>
    <row r="32" ht="63" customHeight="1" spans="3:22">
      <c r="C32" s="21"/>
      <c r="D32" s="21"/>
      <c r="E32" s="21"/>
      <c r="F32" s="21"/>
    </row>
    <row r="33" ht="15.75" spans="3:6">
      <c r="C33" s="22"/>
      <c r="D33" s="22"/>
      <c r="E33" s="22"/>
      <c r="F33" s="22"/>
    </row>
    <row r="34" ht="31.5" customHeight="1" spans="3:6">
      <c r="C34" s="22"/>
      <c r="D34" s="22"/>
      <c r="E34" s="22"/>
      <c r="F34" s="22"/>
    </row>
    <row r="35" ht="47.25" customHeight="1" spans="3:6">
      <c r="C35" s="22"/>
      <c r="D35" s="22"/>
      <c r="E35" s="22"/>
      <c r="F35" s="22"/>
    </row>
    <row r="36" ht="31.5" customHeight="1" spans="3:6">
      <c r="C36" s="22"/>
      <c r="D36" s="22"/>
      <c r="E36" s="22"/>
      <c r="F36" s="22"/>
    </row>
    <row r="37" ht="47.25" customHeight="1" spans="3:6">
      <c r="C37" s="22"/>
      <c r="D37" s="22"/>
      <c r="E37" s="22"/>
      <c r="F37" s="22"/>
    </row>
    <row r="38" ht="15.75" spans="3:6">
      <c r="C38" s="22"/>
      <c r="D38" s="22"/>
      <c r="E38" s="22"/>
      <c r="F38" s="22"/>
    </row>
    <row r="39" ht="47.25" customHeight="1" spans="3:6">
      <c r="C39" s="22"/>
      <c r="D39" s="22"/>
      <c r="E39" s="22"/>
      <c r="F39" s="22"/>
    </row>
    <row r="40" ht="173.25" customHeight="1" spans="3:6">
      <c r="C40" s="21"/>
      <c r="D40" s="21"/>
      <c r="E40" s="21"/>
      <c r="F40" s="21"/>
    </row>
    <row r="41" ht="47.25" customHeight="1" spans="3:6">
      <c r="C41" s="22"/>
      <c r="D41" s="22"/>
      <c r="E41" s="22"/>
      <c r="F41" s="22"/>
    </row>
    <row r="42" ht="31.5" customHeight="1" spans="3:6">
      <c r="C42" s="22"/>
      <c r="D42" s="22"/>
      <c r="E42" s="22"/>
      <c r="F42" s="22"/>
    </row>
    <row r="43" ht="31.5" customHeight="1" spans="3:6">
      <c r="C43" s="22"/>
      <c r="D43" s="22"/>
      <c r="E43" s="22"/>
      <c r="F43" s="22"/>
    </row>
    <row r="44" ht="47.25" customHeight="1" spans="3:6">
      <c r="C44" s="22"/>
      <c r="D44" s="22"/>
      <c r="E44" s="22"/>
      <c r="F44" s="22"/>
    </row>
    <row r="45" ht="15.75" spans="3:6">
      <c r="C45" s="22"/>
      <c r="D45" s="22"/>
      <c r="E45" s="22"/>
      <c r="F45" s="22"/>
    </row>
    <row r="46" ht="31.5" customHeight="1" spans="3:6">
      <c r="C46" s="22"/>
      <c r="D46" s="22"/>
      <c r="E46" s="22"/>
      <c r="F46" s="22"/>
    </row>
    <row r="49" ht="15.75" spans="3:6">
      <c r="C49" s="19"/>
      <c r="D49" s="19"/>
      <c r="E49" s="19"/>
      <c r="F49" s="19"/>
    </row>
    <row r="50" ht="15.75" spans="3:6">
      <c r="C50" s="23"/>
      <c r="D50" s="23"/>
      <c r="E50" s="23"/>
      <c r="F50" s="23"/>
    </row>
    <row r="51" spans="3:6">
      <c r="C51" s="20"/>
      <c r="D51" s="20"/>
      <c r="E51" s="20"/>
      <c r="F51" s="20"/>
    </row>
    <row r="52" ht="31.5" customHeight="1" spans="3:6">
      <c r="C52" s="22"/>
      <c r="D52" s="22"/>
      <c r="E52" s="22"/>
      <c r="F52" s="22"/>
    </row>
    <row r="53" ht="31.5" customHeight="1" spans="3:6">
      <c r="C53" s="22"/>
      <c r="D53" s="22"/>
      <c r="E53" s="22"/>
      <c r="F53" s="22"/>
    </row>
    <row r="54" ht="31.5" customHeight="1" spans="3:6">
      <c r="C54" s="22"/>
      <c r="D54" s="22"/>
      <c r="E54" s="22"/>
      <c r="F54" s="22"/>
    </row>
    <row r="55" ht="31.5" customHeight="1" spans="3:6">
      <c r="C55" s="22"/>
      <c r="D55" s="22"/>
      <c r="E55" s="22"/>
      <c r="F55" s="22"/>
    </row>
    <row r="56" spans="3:6">
      <c r="C56" s="20"/>
      <c r="D56" s="20"/>
      <c r="E56" s="20"/>
      <c r="F56" s="20"/>
    </row>
    <row r="57" ht="63" customHeight="1" spans="3:6">
      <c r="C57" s="21"/>
      <c r="D57" s="21"/>
      <c r="E57" s="21"/>
      <c r="F57" s="21"/>
    </row>
    <row r="58" ht="31.5" customHeight="1" spans="3:6">
      <c r="C58" s="22"/>
      <c r="D58" s="22"/>
      <c r="E58" s="22"/>
      <c r="F58" s="22"/>
    </row>
    <row r="59" ht="31.5" customHeight="1" spans="3:6">
      <c r="C59" s="22"/>
      <c r="D59" s="22"/>
      <c r="E59" s="22"/>
      <c r="F59" s="22"/>
    </row>
    <row r="60" ht="31.5" customHeight="1" spans="3:6">
      <c r="C60" s="22"/>
      <c r="D60" s="22"/>
      <c r="E60" s="22"/>
      <c r="F60" s="22"/>
    </row>
    <row r="61" ht="47.25" customHeight="1" spans="3:6">
      <c r="C61" s="22"/>
      <c r="D61" s="22"/>
      <c r="E61" s="22"/>
      <c r="F61" s="22"/>
    </row>
    <row r="62" ht="31.5" customHeight="1" spans="3:6">
      <c r="C62" s="22"/>
      <c r="D62" s="22"/>
      <c r="E62" s="22"/>
      <c r="F62" s="22"/>
    </row>
    <row r="63" ht="47.25" customHeight="1" spans="3:6">
      <c r="C63" s="21"/>
      <c r="D63" s="21"/>
      <c r="E63" s="21"/>
      <c r="F63" s="21"/>
    </row>
    <row r="64" ht="15.75" spans="3:6">
      <c r="C64" s="22"/>
      <c r="D64" s="22"/>
      <c r="E64" s="22"/>
      <c r="F64" s="22"/>
    </row>
    <row r="65" ht="15.75" spans="2:6">
      <c r="C65" s="22"/>
      <c r="D65" s="22"/>
      <c r="E65" s="22"/>
      <c r="F65" s="22"/>
    </row>
    <row r="66" ht="15.75" spans="2:6">
      <c r="C66" s="22"/>
      <c r="D66" s="22"/>
      <c r="E66" s="22"/>
      <c r="F66" s="22"/>
    </row>
    <row r="67" ht="63" customHeight="1" spans="2:6">
      <c r="B67">
        <v>9</v>
      </c>
      <c r="C67" s="22"/>
      <c r="D67" s="22"/>
      <c r="E67" s="22"/>
      <c r="F67" s="22"/>
    </row>
    <row r="68" ht="15" spans="2:6">
      <c r="C68" s="24"/>
      <c r="D68" s="24"/>
      <c r="E68" s="24"/>
      <c r="F68" s="24"/>
    </row>
    <row r="69" ht="15" spans="2:6">
      <c r="C69" s="24"/>
      <c r="D69" s="24"/>
      <c r="E69" s="24"/>
      <c r="F69" s="24"/>
    </row>
    <row r="70" ht="31.5" customHeight="1" spans="2:6">
      <c r="C70" s="24"/>
      <c r="D70" s="24"/>
      <c r="E70" s="24"/>
      <c r="F70" s="24"/>
    </row>
    <row r="71" ht="31.5" customHeight="1" spans="2:6">
      <c r="C71" s="21"/>
      <c r="D71" s="21"/>
      <c r="E71" s="21"/>
      <c r="F71" s="21"/>
    </row>
    <row r="72" spans="2:6">
      <c r="C72" s="20"/>
      <c r="D72" s="20"/>
      <c r="E72" s="20"/>
      <c r="F72" s="20"/>
    </row>
    <row r="73" ht="47.25" customHeight="1" spans="2:6">
      <c r="C73" s="22"/>
      <c r="D73" s="22"/>
      <c r="E73" s="22"/>
      <c r="F73" s="22"/>
    </row>
    <row r="74" ht="47.25" customHeight="1" spans="2:6">
      <c r="C74" s="22"/>
      <c r="D74" s="22"/>
      <c r="E74" s="22"/>
      <c r="F74" s="22"/>
    </row>
    <row r="75" ht="63" customHeight="1" spans="2:6">
      <c r="C75" s="22"/>
      <c r="D75" s="22"/>
      <c r="E75" s="22"/>
      <c r="F75" s="22"/>
    </row>
    <row r="76" ht="78.75" customHeight="1"/>
    <row r="79" ht="15.75" spans="2:6">
      <c r="C79" s="19"/>
      <c r="D79" s="19"/>
      <c r="E79" s="19"/>
      <c r="F79" s="19"/>
    </row>
    <row r="80" ht="15.75" spans="2:6">
      <c r="C80" s="23"/>
      <c r="D80" s="23"/>
      <c r="E80" s="23"/>
      <c r="F80" s="23"/>
    </row>
    <row r="81" spans="3:6">
      <c r="C81" s="20"/>
      <c r="D81" s="20"/>
      <c r="E81" s="20"/>
      <c r="F81" s="20"/>
    </row>
    <row r="82" ht="47.25" customHeight="1" spans="3:6">
      <c r="C82" s="22"/>
      <c r="D82" s="22"/>
      <c r="E82" s="22"/>
      <c r="F82" s="22"/>
    </row>
    <row r="83" ht="31.5" customHeight="1" spans="3:6">
      <c r="C83" s="22"/>
      <c r="D83" s="22"/>
      <c r="E83" s="22"/>
      <c r="F83" s="22"/>
    </row>
    <row r="84" ht="47.25" customHeight="1" spans="3:6">
      <c r="C84" s="22"/>
      <c r="D84" s="22"/>
      <c r="E84" s="22"/>
      <c r="F84" s="22"/>
    </row>
    <row r="85" ht="78.75" customHeight="1" spans="3:6">
      <c r="C85" s="21"/>
      <c r="D85" s="21"/>
      <c r="E85" s="21"/>
      <c r="F85" s="21"/>
    </row>
    <row r="86" spans="3:6">
      <c r="C86" s="20"/>
      <c r="D86" s="20"/>
      <c r="E86" s="20"/>
      <c r="F86" s="20"/>
    </row>
    <row r="87" ht="31.5" customHeight="1" spans="3:6">
      <c r="C87" s="22"/>
      <c r="D87" s="22"/>
      <c r="E87" s="22"/>
      <c r="F87" s="22"/>
    </row>
    <row r="88" ht="31.5" customHeight="1" spans="3:6">
      <c r="C88" s="22"/>
      <c r="D88" s="22"/>
      <c r="E88" s="22"/>
      <c r="F88" s="22"/>
    </row>
    <row r="89" ht="47.25" customHeight="1" spans="3:6">
      <c r="C89" s="22"/>
      <c r="D89" s="22"/>
      <c r="E89" s="22"/>
      <c r="F89" s="22"/>
    </row>
    <row r="90" ht="47.25" customHeight="1" spans="3:6">
      <c r="C90" s="22"/>
      <c r="D90" s="22"/>
      <c r="E90" s="22"/>
      <c r="F90" s="22"/>
    </row>
    <row r="91" ht="31.5" customHeight="1" spans="3:6">
      <c r="C91" s="22"/>
      <c r="D91" s="22"/>
      <c r="E91" s="22"/>
      <c r="F91" s="22"/>
    </row>
    <row r="92" ht="157.5" customHeight="1" spans="3:6">
      <c r="C92" s="25"/>
      <c r="D92" s="25"/>
      <c r="E92" s="25"/>
      <c r="F92" s="25"/>
    </row>
    <row r="93" ht="15.75" spans="3:6">
      <c r="C93" s="19"/>
      <c r="D93" s="19"/>
      <c r="E93" s="19"/>
      <c r="F93" s="19"/>
    </row>
    <row r="94" ht="15.75" spans="3:6">
      <c r="C94" s="23"/>
      <c r="D94" s="23"/>
      <c r="E94" s="23"/>
      <c r="F94" s="23"/>
    </row>
    <row r="95" spans="3:6">
      <c r="C95" s="20"/>
      <c r="D95" s="20"/>
      <c r="E95" s="20"/>
      <c r="F95" s="20"/>
    </row>
    <row r="96" ht="15.75" spans="3:6">
      <c r="C96" s="26"/>
      <c r="D96" s="26"/>
      <c r="E96" s="26"/>
      <c r="F96" s="26"/>
    </row>
    <row r="97" ht="15.75" spans="3:6">
      <c r="C97" s="26"/>
      <c r="D97" s="26"/>
      <c r="E97" s="26"/>
      <c r="F97" s="26"/>
    </row>
    <row r="98" ht="15.75" spans="3:6">
      <c r="C98" s="26"/>
      <c r="D98" s="26"/>
      <c r="E98" s="26"/>
      <c r="F98" s="26"/>
    </row>
    <row r="99" ht="15.75" spans="3:6">
      <c r="C99" s="26"/>
      <c r="D99" s="26"/>
      <c r="E99" s="26"/>
      <c r="F99" s="26"/>
    </row>
    <row r="100" ht="15.75" spans="3:6">
      <c r="C100" s="26"/>
      <c r="D100" s="26"/>
      <c r="E100" s="26"/>
      <c r="F100" s="26"/>
    </row>
    <row r="101" ht="15.75" spans="3:6">
      <c r="C101" s="26"/>
      <c r="D101" s="26"/>
      <c r="E101" s="26"/>
      <c r="F101" s="26"/>
    </row>
    <row r="102" ht="15.75" spans="3:6">
      <c r="C102" s="26"/>
      <c r="D102" s="26"/>
      <c r="E102" s="26"/>
      <c r="F102" s="26"/>
    </row>
    <row r="103" ht="15.75" spans="3:6">
      <c r="C103" s="26"/>
      <c r="D103" s="26"/>
      <c r="E103" s="26"/>
      <c r="F103" s="26"/>
    </row>
    <row r="104" ht="15.75" spans="3:6">
      <c r="C104" s="27"/>
    </row>
    <row r="105" ht="15.75" spans="3:6">
      <c r="C105" s="21"/>
    </row>
    <row r="106" ht="15.75" spans="3:6">
      <c r="C106" s="21"/>
    </row>
    <row r="107" ht="15.75" spans="3:6">
      <c r="C107" s="21"/>
    </row>
    <row r="108" ht="15.75" spans="3:6">
      <c r="C108" s="21"/>
    </row>
    <row r="109" ht="15.75" spans="3:6">
      <c r="C109" s="21"/>
    </row>
    <row r="110" ht="15.75" spans="3:6">
      <c r="C110" s="21"/>
    </row>
    <row r="111" ht="15.75" spans="3:6">
      <c r="C111" s="21"/>
    </row>
  </sheetData>
  <mergeCells count="101">
    <mergeCell ref="I1:Q1"/>
    <mergeCell ref="C17:F17"/>
    <mergeCell ref="C18:F18"/>
    <mergeCell ref="C19:F19"/>
    <mergeCell ref="G19:J19"/>
    <mergeCell ref="K19:N19"/>
    <mergeCell ref="O19:R19"/>
    <mergeCell ref="C20:F20"/>
    <mergeCell ref="G20:J20"/>
    <mergeCell ref="K20:N20"/>
    <mergeCell ref="O20:R20"/>
    <mergeCell ref="S20:V20"/>
    <mergeCell ref="C21:F21"/>
    <mergeCell ref="G21:J21"/>
    <mergeCell ref="K21:N21"/>
    <mergeCell ref="O21:R21"/>
    <mergeCell ref="S21:V21"/>
    <mergeCell ref="C22:F22"/>
    <mergeCell ref="G22:J22"/>
    <mergeCell ref="K22:N22"/>
    <mergeCell ref="O22:R22"/>
    <mergeCell ref="S22:V22"/>
    <mergeCell ref="K23:N23"/>
    <mergeCell ref="O23:R23"/>
    <mergeCell ref="S23:V23"/>
    <mergeCell ref="O24:R24"/>
    <mergeCell ref="S24:V24"/>
    <mergeCell ref="O25:R25"/>
    <mergeCell ref="S25:V25"/>
    <mergeCell ref="O26:R26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77:F77"/>
    <mergeCell ref="C78:F78"/>
    <mergeCell ref="C79:F79"/>
    <mergeCell ref="C80:F80"/>
    <mergeCell ref="C81:F81"/>
    <mergeCell ref="C82:F82"/>
    <mergeCell ref="C83:F83"/>
    <mergeCell ref="C84:F84"/>
    <mergeCell ref="C85:F85"/>
    <mergeCell ref="C86:F86"/>
    <mergeCell ref="C87:F87"/>
    <mergeCell ref="C88:F88"/>
    <mergeCell ref="C89:F89"/>
    <mergeCell ref="C90:F90"/>
    <mergeCell ref="C91:F91"/>
    <mergeCell ref="C92:F92"/>
    <mergeCell ref="C93:F93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103:F103"/>
  </mergeCells>
  <pageMargins left="0.5" right="0" top="1" bottom="1" header="0.05" footer="0.3"/>
  <pageSetup paperSize="1" scale="15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Q14"/>
  <sheetViews>
    <sheetView workbookViewId="0">
      <selection activeCell="J15" sqref="J15"/>
    </sheetView>
  </sheetViews>
  <sheetFormatPr defaultColWidth="9" defaultRowHeight="13.5"/>
  <cols>
    <col min="3" max="3" width="6.85833333333333" customWidth="1"/>
    <col min="4" max="4" width="7" customWidth="1"/>
    <col min="7" max="7" width="23.2833333333333" customWidth="1"/>
    <col min="8" max="8" width="14.7083333333333" customWidth="1"/>
    <col min="9" max="9" width="24.5666666666667" customWidth="1"/>
    <col min="10" max="10" width="19.1416666666667" customWidth="1"/>
    <col min="11" max="11" width="16.7083333333333" customWidth="1"/>
    <col min="12" max="12" width="14.2833333333333" customWidth="1"/>
    <col min="13" max="13" width="7.425" customWidth="1"/>
    <col min="14" max="14" width="35.5666666666667" customWidth="1"/>
    <col min="15" max="15" width="27.5666666666667" customWidth="1"/>
    <col min="16" max="16" width="16.1416666666667" customWidth="1"/>
  </cols>
  <sheetData>
    <row r="3" ht="14.25"/>
    <row r="4" ht="14.25" spans="3:17">
      <c r="C4" s="1" t="s">
        <v>70</v>
      </c>
      <c r="D4" s="2" t="s">
        <v>71</v>
      </c>
      <c r="E4" s="2" t="s">
        <v>72</v>
      </c>
      <c r="F4" s="3" t="s">
        <v>73</v>
      </c>
      <c r="G4" s="2" t="s">
        <v>74</v>
      </c>
      <c r="H4" s="2" t="s">
        <v>75</v>
      </c>
      <c r="I4" s="2" t="s">
        <v>76</v>
      </c>
      <c r="J4" s="4" t="s">
        <v>77</v>
      </c>
      <c r="K4" s="5" t="s">
        <v>78</v>
      </c>
      <c r="L4" s="4" t="s">
        <v>79</v>
      </c>
      <c r="M4" s="4" t="s">
        <v>80</v>
      </c>
      <c r="N4" s="2" t="s">
        <v>81</v>
      </c>
      <c r="O4" s="4" t="s">
        <v>82</v>
      </c>
      <c r="P4" s="4" t="s">
        <v>83</v>
      </c>
      <c r="Q4" s="6" t="s">
        <v>84</v>
      </c>
    </row>
    <row r="5" spans="3:17">
      <c r="C5">
        <v>1</v>
      </c>
      <c r="D5">
        <v>1</v>
      </c>
      <c r="E5">
        <v>2</v>
      </c>
      <c r="F5">
        <v>1</v>
      </c>
      <c r="G5">
        <v>1</v>
      </c>
      <c r="H5">
        <v>1</v>
      </c>
      <c r="I5">
        <v>1</v>
      </c>
      <c r="J5">
        <v>5</v>
      </c>
      <c r="K5">
        <v>1</v>
      </c>
      <c r="L5">
        <v>3</v>
      </c>
      <c r="N5">
        <v>2</v>
      </c>
      <c r="O5">
        <v>2</v>
      </c>
      <c r="P5" t="s">
        <v>104</v>
      </c>
      <c r="Q5">
        <v>3</v>
      </c>
    </row>
    <row r="6" spans="3:17">
      <c r="C6">
        <v>2</v>
      </c>
      <c r="D6">
        <v>2</v>
      </c>
      <c r="E6">
        <v>2</v>
      </c>
      <c r="F6">
        <v>1</v>
      </c>
      <c r="G6">
        <v>5</v>
      </c>
      <c r="H6">
        <v>1</v>
      </c>
      <c r="J6">
        <v>5</v>
      </c>
      <c r="K6">
        <v>1</v>
      </c>
      <c r="L6">
        <v>3</v>
      </c>
      <c r="N6">
        <v>3</v>
      </c>
      <c r="O6">
        <v>5</v>
      </c>
      <c r="P6">
        <v>1</v>
      </c>
      <c r="Q6">
        <v>3</v>
      </c>
    </row>
    <row r="7" spans="3:17">
      <c r="C7">
        <v>3</v>
      </c>
      <c r="D7">
        <v>3</v>
      </c>
      <c r="E7">
        <v>1</v>
      </c>
      <c r="F7">
        <v>3</v>
      </c>
      <c r="G7">
        <v>4</v>
      </c>
      <c r="H7">
        <v>1</v>
      </c>
      <c r="J7">
        <v>5</v>
      </c>
      <c r="K7">
        <v>2</v>
      </c>
      <c r="L7">
        <v>2</v>
      </c>
      <c r="N7">
        <v>1</v>
      </c>
      <c r="O7">
        <v>5</v>
      </c>
      <c r="P7">
        <v>1</v>
      </c>
      <c r="Q7">
        <v>3</v>
      </c>
    </row>
    <row r="8" spans="3:17">
      <c r="C8">
        <v>4</v>
      </c>
      <c r="D8">
        <v>3</v>
      </c>
      <c r="E8">
        <v>1</v>
      </c>
      <c r="F8">
        <v>1</v>
      </c>
      <c r="G8">
        <v>1</v>
      </c>
      <c r="H8">
        <v>1</v>
      </c>
      <c r="J8">
        <v>5</v>
      </c>
      <c r="K8">
        <v>3</v>
      </c>
      <c r="L8">
        <v>2</v>
      </c>
      <c r="N8">
        <v>3</v>
      </c>
      <c r="O8">
        <v>2</v>
      </c>
      <c r="P8" t="s">
        <v>104</v>
      </c>
      <c r="Q8">
        <v>4</v>
      </c>
    </row>
    <row r="9" spans="3:17">
      <c r="C9">
        <v>5</v>
      </c>
      <c r="D9">
        <v>1</v>
      </c>
      <c r="E9">
        <v>2</v>
      </c>
      <c r="F9">
        <v>1</v>
      </c>
      <c r="G9">
        <v>1</v>
      </c>
      <c r="H9">
        <v>1</v>
      </c>
      <c r="J9">
        <v>5</v>
      </c>
      <c r="K9">
        <v>1</v>
      </c>
      <c r="L9">
        <v>1</v>
      </c>
      <c r="N9">
        <v>1</v>
      </c>
      <c r="O9" t="s">
        <v>105</v>
      </c>
      <c r="P9">
        <v>7</v>
      </c>
      <c r="Q9">
        <v>3</v>
      </c>
    </row>
    <row r="10" spans="3:17">
      <c r="C10">
        <v>6</v>
      </c>
      <c r="D10">
        <v>2</v>
      </c>
      <c r="E10">
        <v>1</v>
      </c>
      <c r="F10">
        <v>3</v>
      </c>
      <c r="G10">
        <v>1</v>
      </c>
      <c r="H10">
        <v>1</v>
      </c>
      <c r="I10">
        <v>1</v>
      </c>
      <c r="J10">
        <v>5</v>
      </c>
      <c r="K10">
        <v>1</v>
      </c>
      <c r="L10">
        <v>2</v>
      </c>
      <c r="N10">
        <v>2</v>
      </c>
      <c r="O10">
        <v>2</v>
      </c>
      <c r="P10">
        <v>1</v>
      </c>
      <c r="Q10">
        <v>2</v>
      </c>
    </row>
    <row r="11" spans="3:17">
      <c r="C11">
        <v>7</v>
      </c>
      <c r="D11">
        <v>3</v>
      </c>
      <c r="E11">
        <v>1</v>
      </c>
      <c r="F11">
        <v>1</v>
      </c>
      <c r="G11">
        <v>3</v>
      </c>
      <c r="H11">
        <v>1</v>
      </c>
      <c r="J11">
        <v>5</v>
      </c>
      <c r="K11">
        <v>2</v>
      </c>
      <c r="L11">
        <v>2</v>
      </c>
      <c r="N11">
        <v>1</v>
      </c>
      <c r="O11">
        <v>1</v>
      </c>
      <c r="P11">
        <v>1</v>
      </c>
      <c r="Q11">
        <v>3</v>
      </c>
    </row>
    <row r="12" spans="3:17">
      <c r="C12">
        <v>8</v>
      </c>
      <c r="D12">
        <v>2</v>
      </c>
      <c r="E12">
        <v>1</v>
      </c>
      <c r="F12">
        <v>2</v>
      </c>
      <c r="G12">
        <v>1</v>
      </c>
      <c r="H12">
        <v>1</v>
      </c>
      <c r="J12">
        <v>5</v>
      </c>
      <c r="K12">
        <v>1</v>
      </c>
      <c r="L12">
        <v>2</v>
      </c>
      <c r="N12">
        <v>3</v>
      </c>
      <c r="O12">
        <v>2</v>
      </c>
      <c r="P12">
        <v>1</v>
      </c>
      <c r="Q12">
        <v>3</v>
      </c>
    </row>
    <row r="13" spans="3:17">
      <c r="C13">
        <v>9</v>
      </c>
      <c r="D13">
        <v>1</v>
      </c>
      <c r="E13">
        <v>2</v>
      </c>
      <c r="F13">
        <v>1</v>
      </c>
      <c r="G13">
        <v>4</v>
      </c>
      <c r="H13">
        <v>1</v>
      </c>
      <c r="J13">
        <v>5</v>
      </c>
      <c r="K13">
        <v>1</v>
      </c>
      <c r="L13">
        <v>2</v>
      </c>
      <c r="N13">
        <v>1</v>
      </c>
      <c r="O13">
        <v>2</v>
      </c>
      <c r="P13">
        <v>1</v>
      </c>
      <c r="Q13">
        <v>3</v>
      </c>
    </row>
    <row r="14" spans="3:17">
      <c r="C14">
        <v>10</v>
      </c>
      <c r="D14">
        <v>2</v>
      </c>
      <c r="E14">
        <v>2</v>
      </c>
      <c r="F14">
        <v>1</v>
      </c>
      <c r="G14">
        <v>4</v>
      </c>
      <c r="H14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X1" workbookViewId="0">
      <selection activeCell="N87" sqref="N87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Sheet3</vt:lpstr>
      <vt:lpstr>Sheet1</vt:lpstr>
      <vt:lpstr>SHEET 1</vt:lpstr>
      <vt:lpstr>Sheet5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 kalvin</dc:creator>
  <cp:lastModifiedBy>Manju</cp:lastModifiedBy>
  <dcterms:created xsi:type="dcterms:W3CDTF">2026-03-21T08:27:00Z</dcterms:created>
  <cp:lastPrinted>2026-03-30T15:08:00Z</cp:lastPrinted>
  <dcterms:modified xsi:type="dcterms:W3CDTF">2026-04-21T05:12:29Z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3AF128BAE01D48D0883E11A8989A330B_12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